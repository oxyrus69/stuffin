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ZHAR\"/>
    </mc:Choice>
  </mc:AlternateContent>
  <xr:revisionPtr revIDLastSave="0" documentId="8_{F6D1EF79-0154-49FB-BFFB-2A162CCA1805}" xr6:coauthVersionLast="47" xr6:coauthVersionMax="47" xr10:uidLastSave="{00000000-0000-0000-0000-000000000000}"/>
  <bookViews>
    <workbookView xWindow="-120" yWindow="-120" windowWidth="29040" windowHeight="15720" xr2:uid="{515DA696-170A-404E-BBE4-5129B13E2389}"/>
  </bookViews>
  <sheets>
    <sheet name="AGUSTUS 26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209" i="1" l="1"/>
  <c r="AB208" i="1"/>
  <c r="AA205" i="1"/>
  <c r="S205" i="1"/>
  <c r="K205" i="1"/>
  <c r="C205" i="1"/>
  <c r="AA204" i="1"/>
  <c r="Y204" i="1"/>
  <c r="X204" i="1"/>
  <c r="X205" i="1" s="1"/>
  <c r="W204" i="1"/>
  <c r="T204" i="1"/>
  <c r="V204" i="1" s="1"/>
  <c r="S204" i="1"/>
  <c r="P204" i="1"/>
  <c r="P205" i="1" s="1"/>
  <c r="O204" i="1"/>
  <c r="L204" i="1"/>
  <c r="N204" i="1" s="1"/>
  <c r="K204" i="1"/>
  <c r="I204" i="1"/>
  <c r="H204" i="1"/>
  <c r="H205" i="1" s="1"/>
  <c r="G204" i="1"/>
  <c r="D204" i="1"/>
  <c r="F204" i="1" s="1"/>
  <c r="C204" i="1"/>
  <c r="AD203" i="1"/>
  <c r="AC203" i="1"/>
  <c r="AB203" i="1"/>
  <c r="AE203" i="1" s="1"/>
  <c r="Z203" i="1"/>
  <c r="Y203" i="1"/>
  <c r="V203" i="1"/>
  <c r="U203" i="1"/>
  <c r="R203" i="1"/>
  <c r="Q203" i="1"/>
  <c r="N203" i="1"/>
  <c r="M203" i="1"/>
  <c r="J203" i="1"/>
  <c r="I203" i="1"/>
  <c r="F203" i="1"/>
  <c r="E203" i="1"/>
  <c r="AC202" i="1"/>
  <c r="AB202" i="1"/>
  <c r="AE202" i="1" s="1"/>
  <c r="Z202" i="1"/>
  <c r="Y202" i="1"/>
  <c r="V202" i="1"/>
  <c r="U202" i="1"/>
  <c r="R202" i="1"/>
  <c r="Q202" i="1"/>
  <c r="N202" i="1"/>
  <c r="M202" i="1"/>
  <c r="J202" i="1"/>
  <c r="I202" i="1"/>
  <c r="F202" i="1"/>
  <c r="E202" i="1"/>
  <c r="AC201" i="1"/>
  <c r="AB201" i="1"/>
  <c r="AE201" i="1" s="1"/>
  <c r="Z201" i="1"/>
  <c r="Y201" i="1"/>
  <c r="V201" i="1"/>
  <c r="U201" i="1"/>
  <c r="R201" i="1"/>
  <c r="Q201" i="1"/>
  <c r="N201" i="1"/>
  <c r="M201" i="1"/>
  <c r="J201" i="1"/>
  <c r="I201" i="1"/>
  <c r="F201" i="1"/>
  <c r="E201" i="1"/>
  <c r="AD200" i="1"/>
  <c r="AC200" i="1"/>
  <c r="AB200" i="1"/>
  <c r="AE200" i="1" s="1"/>
  <c r="Z200" i="1"/>
  <c r="Y200" i="1"/>
  <c r="V200" i="1"/>
  <c r="U200" i="1"/>
  <c r="R200" i="1"/>
  <c r="Q200" i="1"/>
  <c r="N200" i="1"/>
  <c r="M200" i="1"/>
  <c r="J200" i="1"/>
  <c r="I200" i="1"/>
  <c r="F200" i="1"/>
  <c r="E200" i="1"/>
  <c r="AC199" i="1"/>
  <c r="AB199" i="1"/>
  <c r="AE199" i="1" s="1"/>
  <c r="Z199" i="1"/>
  <c r="Y199" i="1"/>
  <c r="V199" i="1"/>
  <c r="U199" i="1"/>
  <c r="R199" i="1"/>
  <c r="Q199" i="1"/>
  <c r="N199" i="1"/>
  <c r="M199" i="1"/>
  <c r="J199" i="1"/>
  <c r="I199" i="1"/>
  <c r="F199" i="1"/>
  <c r="E199" i="1"/>
  <c r="AD198" i="1"/>
  <c r="AC198" i="1"/>
  <c r="AC204" i="1" s="1"/>
  <c r="AB198" i="1"/>
  <c r="Z198" i="1"/>
  <c r="Y198" i="1"/>
  <c r="V198" i="1"/>
  <c r="U198" i="1"/>
  <c r="R198" i="1"/>
  <c r="Q198" i="1"/>
  <c r="N198" i="1"/>
  <c r="M198" i="1"/>
  <c r="J198" i="1"/>
  <c r="I198" i="1"/>
  <c r="F198" i="1"/>
  <c r="E198" i="1"/>
  <c r="AC197" i="1"/>
  <c r="AC205" i="1" s="1"/>
  <c r="AB197" i="1"/>
  <c r="AE197" i="1" s="1"/>
  <c r="AA197" i="1"/>
  <c r="Z197" i="1"/>
  <c r="Y197" i="1"/>
  <c r="X197" i="1"/>
  <c r="W197" i="1"/>
  <c r="T197" i="1"/>
  <c r="U197" i="1" s="1"/>
  <c r="S197" i="1"/>
  <c r="R197" i="1"/>
  <c r="Q197" i="1"/>
  <c r="P197" i="1"/>
  <c r="O197" i="1"/>
  <c r="N197" i="1"/>
  <c r="L197" i="1"/>
  <c r="M197" i="1" s="1"/>
  <c r="K197" i="1"/>
  <c r="J197" i="1"/>
  <c r="I197" i="1"/>
  <c r="H197" i="1"/>
  <c r="G197" i="1"/>
  <c r="D197" i="1"/>
  <c r="E197" i="1" s="1"/>
  <c r="C197" i="1"/>
  <c r="AE196" i="1"/>
  <c r="AD196" i="1"/>
  <c r="AC196" i="1"/>
  <c r="AB196" i="1"/>
  <c r="Z196" i="1"/>
  <c r="Y196" i="1"/>
  <c r="V196" i="1"/>
  <c r="U196" i="1"/>
  <c r="R196" i="1"/>
  <c r="Q196" i="1"/>
  <c r="N196" i="1"/>
  <c r="M196" i="1"/>
  <c r="J196" i="1"/>
  <c r="I196" i="1"/>
  <c r="F196" i="1"/>
  <c r="E196" i="1"/>
  <c r="AE195" i="1"/>
  <c r="AD195" i="1"/>
  <c r="AC195" i="1"/>
  <c r="AB195" i="1"/>
  <c r="Z195" i="1"/>
  <c r="Y195" i="1"/>
  <c r="V195" i="1"/>
  <c r="U195" i="1"/>
  <c r="R195" i="1"/>
  <c r="Q195" i="1"/>
  <c r="N195" i="1"/>
  <c r="M195" i="1"/>
  <c r="J195" i="1"/>
  <c r="I195" i="1"/>
  <c r="F195" i="1"/>
  <c r="E195" i="1"/>
  <c r="AE194" i="1"/>
  <c r="AD194" i="1"/>
  <c r="AC194" i="1"/>
  <c r="AB194" i="1"/>
  <c r="Z194" i="1"/>
  <c r="Y194" i="1"/>
  <c r="V194" i="1"/>
  <c r="U194" i="1"/>
  <c r="R194" i="1"/>
  <c r="Q194" i="1"/>
  <c r="N194" i="1"/>
  <c r="M194" i="1"/>
  <c r="J194" i="1"/>
  <c r="I194" i="1"/>
  <c r="F194" i="1"/>
  <c r="E194" i="1"/>
  <c r="AE193" i="1"/>
  <c r="AD193" i="1"/>
  <c r="AC193" i="1"/>
  <c r="AB193" i="1"/>
  <c r="Z193" i="1"/>
  <c r="Y193" i="1"/>
  <c r="V193" i="1"/>
  <c r="U193" i="1"/>
  <c r="R193" i="1"/>
  <c r="Q193" i="1"/>
  <c r="N193" i="1"/>
  <c r="M193" i="1"/>
  <c r="J193" i="1"/>
  <c r="I193" i="1"/>
  <c r="F193" i="1"/>
  <c r="E193" i="1"/>
  <c r="AE192" i="1"/>
  <c r="AD192" i="1"/>
  <c r="AC192" i="1"/>
  <c r="AB192" i="1"/>
  <c r="Z192" i="1"/>
  <c r="Y192" i="1"/>
  <c r="V192" i="1"/>
  <c r="U192" i="1"/>
  <c r="R192" i="1"/>
  <c r="Q192" i="1"/>
  <c r="N192" i="1"/>
  <c r="M192" i="1"/>
  <c r="J192" i="1"/>
  <c r="I192" i="1"/>
  <c r="F192" i="1"/>
  <c r="E192" i="1"/>
  <c r="AE191" i="1"/>
  <c r="AD191" i="1"/>
  <c r="AC191" i="1"/>
  <c r="AB191" i="1"/>
  <c r="Z191" i="1"/>
  <c r="Y191" i="1"/>
  <c r="V191" i="1"/>
  <c r="U191" i="1"/>
  <c r="R191" i="1"/>
  <c r="Q191" i="1"/>
  <c r="N191" i="1"/>
  <c r="M191" i="1"/>
  <c r="J191" i="1"/>
  <c r="I191" i="1"/>
  <c r="F191" i="1"/>
  <c r="E191" i="1"/>
  <c r="AE190" i="1"/>
  <c r="AD190" i="1"/>
  <c r="AC190" i="1"/>
  <c r="AB190" i="1"/>
  <c r="Z190" i="1"/>
  <c r="Y190" i="1"/>
  <c r="V190" i="1"/>
  <c r="U190" i="1"/>
  <c r="R190" i="1"/>
  <c r="Q190" i="1"/>
  <c r="N190" i="1"/>
  <c r="M190" i="1"/>
  <c r="J190" i="1"/>
  <c r="I190" i="1"/>
  <c r="F190" i="1"/>
  <c r="E190" i="1"/>
  <c r="AE189" i="1"/>
  <c r="AD189" i="1"/>
  <c r="AC189" i="1"/>
  <c r="AB189" i="1"/>
  <c r="Z189" i="1"/>
  <c r="Y189" i="1"/>
  <c r="V189" i="1"/>
  <c r="U189" i="1"/>
  <c r="R189" i="1"/>
  <c r="Q189" i="1"/>
  <c r="N189" i="1"/>
  <c r="M189" i="1"/>
  <c r="J189" i="1"/>
  <c r="I189" i="1"/>
  <c r="F189" i="1"/>
  <c r="E189" i="1"/>
  <c r="AE188" i="1"/>
  <c r="AD188" i="1"/>
  <c r="AC188" i="1"/>
  <c r="AB188" i="1"/>
  <c r="Z188" i="1"/>
  <c r="Y188" i="1"/>
  <c r="V188" i="1"/>
  <c r="U188" i="1"/>
  <c r="R188" i="1"/>
  <c r="Q188" i="1"/>
  <c r="N188" i="1"/>
  <c r="M188" i="1"/>
  <c r="J188" i="1"/>
  <c r="I188" i="1"/>
  <c r="F188" i="1"/>
  <c r="E188" i="1"/>
  <c r="AE187" i="1"/>
  <c r="AD187" i="1"/>
  <c r="AC187" i="1"/>
  <c r="AB187" i="1"/>
  <c r="Z187" i="1"/>
  <c r="Y187" i="1"/>
  <c r="V187" i="1"/>
  <c r="U187" i="1"/>
  <c r="R187" i="1"/>
  <c r="Q187" i="1"/>
  <c r="N187" i="1"/>
  <c r="M187" i="1"/>
  <c r="J187" i="1"/>
  <c r="I187" i="1"/>
  <c r="F187" i="1"/>
  <c r="E187" i="1"/>
  <c r="K186" i="1"/>
  <c r="K206" i="1" s="1"/>
  <c r="C186" i="1"/>
  <c r="C211" i="1" s="1"/>
  <c r="AA185" i="1"/>
  <c r="AA206" i="1" s="1"/>
  <c r="X185" i="1"/>
  <c r="W185" i="1"/>
  <c r="V185" i="1"/>
  <c r="T185" i="1"/>
  <c r="S185" i="1"/>
  <c r="U185" i="1" s="1"/>
  <c r="P185" i="1"/>
  <c r="O185" i="1"/>
  <c r="N185" i="1"/>
  <c r="L185" i="1"/>
  <c r="K185" i="1"/>
  <c r="M185" i="1" s="1"/>
  <c r="H185" i="1"/>
  <c r="G185" i="1"/>
  <c r="F185" i="1"/>
  <c r="D185" i="1"/>
  <c r="C185" i="1"/>
  <c r="E185" i="1" s="1"/>
  <c r="AC184" i="1"/>
  <c r="AB184" i="1"/>
  <c r="Z184" i="1"/>
  <c r="Y184" i="1"/>
  <c r="V184" i="1"/>
  <c r="U184" i="1"/>
  <c r="R184" i="1"/>
  <c r="Q184" i="1"/>
  <c r="N184" i="1"/>
  <c r="M184" i="1"/>
  <c r="J184" i="1"/>
  <c r="I184" i="1"/>
  <c r="F184" i="1"/>
  <c r="E184" i="1"/>
  <c r="AC183" i="1"/>
  <c r="AB183" i="1"/>
  <c r="Z183" i="1"/>
  <c r="Y183" i="1"/>
  <c r="V183" i="1"/>
  <c r="U183" i="1"/>
  <c r="R183" i="1"/>
  <c r="Q183" i="1"/>
  <c r="N183" i="1"/>
  <c r="M183" i="1"/>
  <c r="J183" i="1"/>
  <c r="I183" i="1"/>
  <c r="F183" i="1"/>
  <c r="E183" i="1"/>
  <c r="AC182" i="1"/>
  <c r="AB182" i="1"/>
  <c r="Z182" i="1"/>
  <c r="Y182" i="1"/>
  <c r="V182" i="1"/>
  <c r="U182" i="1"/>
  <c r="R182" i="1"/>
  <c r="Q182" i="1"/>
  <c r="N182" i="1"/>
  <c r="M182" i="1"/>
  <c r="J182" i="1"/>
  <c r="I182" i="1"/>
  <c r="F182" i="1"/>
  <c r="E182" i="1"/>
  <c r="AC181" i="1"/>
  <c r="AB181" i="1"/>
  <c r="Z181" i="1"/>
  <c r="Y181" i="1"/>
  <c r="V181" i="1"/>
  <c r="U181" i="1"/>
  <c r="R181" i="1"/>
  <c r="Q181" i="1"/>
  <c r="N181" i="1"/>
  <c r="M181" i="1"/>
  <c r="J181" i="1"/>
  <c r="I181" i="1"/>
  <c r="F181" i="1"/>
  <c r="E181" i="1"/>
  <c r="AC180" i="1"/>
  <c r="AB180" i="1"/>
  <c r="Z180" i="1"/>
  <c r="Y180" i="1"/>
  <c r="V180" i="1"/>
  <c r="U180" i="1"/>
  <c r="R180" i="1"/>
  <c r="Q180" i="1"/>
  <c r="N180" i="1"/>
  <c r="M180" i="1"/>
  <c r="J180" i="1"/>
  <c r="I180" i="1"/>
  <c r="F180" i="1"/>
  <c r="E180" i="1"/>
  <c r="AC179" i="1"/>
  <c r="AB179" i="1"/>
  <c r="Z179" i="1"/>
  <c r="Y179" i="1"/>
  <c r="V179" i="1"/>
  <c r="U179" i="1"/>
  <c r="R179" i="1"/>
  <c r="Q179" i="1"/>
  <c r="N179" i="1"/>
  <c r="M179" i="1"/>
  <c r="J179" i="1"/>
  <c r="I179" i="1"/>
  <c r="F179" i="1"/>
  <c r="E179" i="1"/>
  <c r="AC178" i="1"/>
  <c r="AB178" i="1"/>
  <c r="Z178" i="1"/>
  <c r="Y178" i="1"/>
  <c r="V178" i="1"/>
  <c r="U178" i="1"/>
  <c r="R178" i="1"/>
  <c r="Q178" i="1"/>
  <c r="N178" i="1"/>
  <c r="M178" i="1"/>
  <c r="J178" i="1"/>
  <c r="I178" i="1"/>
  <c r="F178" i="1"/>
  <c r="E178" i="1"/>
  <c r="AA177" i="1"/>
  <c r="AA186" i="1" s="1"/>
  <c r="X177" i="1"/>
  <c r="W177" i="1"/>
  <c r="U177" i="1"/>
  <c r="T177" i="1"/>
  <c r="T186" i="1" s="1"/>
  <c r="S177" i="1"/>
  <c r="V177" i="1" s="1"/>
  <c r="P177" i="1"/>
  <c r="P186" i="1" s="1"/>
  <c r="O177" i="1"/>
  <c r="M177" i="1"/>
  <c r="L177" i="1"/>
  <c r="L186" i="1" s="1"/>
  <c r="K177" i="1"/>
  <c r="N177" i="1" s="1"/>
  <c r="H177" i="1"/>
  <c r="H186" i="1" s="1"/>
  <c r="G177" i="1"/>
  <c r="D177" i="1"/>
  <c r="D186" i="1" s="1"/>
  <c r="C177" i="1"/>
  <c r="AC176" i="1"/>
  <c r="AE176" i="1" s="1"/>
  <c r="AB176" i="1"/>
  <c r="Z176" i="1"/>
  <c r="Y176" i="1"/>
  <c r="V176" i="1"/>
  <c r="U176" i="1"/>
  <c r="R176" i="1"/>
  <c r="Q176" i="1"/>
  <c r="N176" i="1"/>
  <c r="M176" i="1"/>
  <c r="J176" i="1"/>
  <c r="I176" i="1"/>
  <c r="F176" i="1"/>
  <c r="E176" i="1"/>
  <c r="AC175" i="1"/>
  <c r="AE175" i="1" s="1"/>
  <c r="AB175" i="1"/>
  <c r="Z175" i="1"/>
  <c r="Y175" i="1"/>
  <c r="V175" i="1"/>
  <c r="U175" i="1"/>
  <c r="R175" i="1"/>
  <c r="Q175" i="1"/>
  <c r="N175" i="1"/>
  <c r="M175" i="1"/>
  <c r="J175" i="1"/>
  <c r="I175" i="1"/>
  <c r="F175" i="1"/>
  <c r="E175" i="1"/>
  <c r="AC174" i="1"/>
  <c r="AE174" i="1" s="1"/>
  <c r="AB174" i="1"/>
  <c r="Z174" i="1"/>
  <c r="Y174" i="1"/>
  <c r="V174" i="1"/>
  <c r="U174" i="1"/>
  <c r="R174" i="1"/>
  <c r="Q174" i="1"/>
  <c r="N174" i="1"/>
  <c r="M174" i="1"/>
  <c r="J174" i="1"/>
  <c r="I174" i="1"/>
  <c r="F174" i="1"/>
  <c r="E174" i="1"/>
  <c r="AC173" i="1"/>
  <c r="AB173" i="1"/>
  <c r="Z173" i="1"/>
  <c r="Y173" i="1"/>
  <c r="V173" i="1"/>
  <c r="U173" i="1"/>
  <c r="R173" i="1"/>
  <c r="Q173" i="1"/>
  <c r="N173" i="1"/>
  <c r="M173" i="1"/>
  <c r="J173" i="1"/>
  <c r="I173" i="1"/>
  <c r="F173" i="1"/>
  <c r="E173" i="1"/>
  <c r="AC172" i="1"/>
  <c r="AB172" i="1"/>
  <c r="Z172" i="1"/>
  <c r="Y172" i="1"/>
  <c r="V172" i="1"/>
  <c r="U172" i="1"/>
  <c r="R172" i="1"/>
  <c r="Q172" i="1"/>
  <c r="N172" i="1"/>
  <c r="M172" i="1"/>
  <c r="J172" i="1"/>
  <c r="I172" i="1"/>
  <c r="F172" i="1"/>
  <c r="E172" i="1"/>
  <c r="AC171" i="1"/>
  <c r="AB171" i="1"/>
  <c r="Z171" i="1"/>
  <c r="Y171" i="1"/>
  <c r="V171" i="1"/>
  <c r="U171" i="1"/>
  <c r="R171" i="1"/>
  <c r="Q171" i="1"/>
  <c r="N171" i="1"/>
  <c r="M171" i="1"/>
  <c r="J171" i="1"/>
  <c r="I171" i="1"/>
  <c r="F171" i="1"/>
  <c r="E171" i="1"/>
  <c r="AC170" i="1"/>
  <c r="AB170" i="1"/>
  <c r="Z170" i="1"/>
  <c r="Y170" i="1"/>
  <c r="V170" i="1"/>
  <c r="U170" i="1"/>
  <c r="R170" i="1"/>
  <c r="Q170" i="1"/>
  <c r="N170" i="1"/>
  <c r="M170" i="1"/>
  <c r="J170" i="1"/>
  <c r="I170" i="1"/>
  <c r="F170" i="1"/>
  <c r="E170" i="1"/>
  <c r="AC169" i="1"/>
  <c r="AB169" i="1"/>
  <c r="Z169" i="1"/>
  <c r="Y169" i="1"/>
  <c r="V169" i="1"/>
  <c r="U169" i="1"/>
  <c r="R169" i="1"/>
  <c r="Q169" i="1"/>
  <c r="N169" i="1"/>
  <c r="M169" i="1"/>
  <c r="J169" i="1"/>
  <c r="I169" i="1"/>
  <c r="F169" i="1"/>
  <c r="E169" i="1"/>
  <c r="AC168" i="1"/>
  <c r="AB168" i="1"/>
  <c r="Z168" i="1"/>
  <c r="Y168" i="1"/>
  <c r="U168" i="1"/>
  <c r="R168" i="1"/>
  <c r="Q168" i="1"/>
  <c r="N168" i="1"/>
  <c r="M168" i="1"/>
  <c r="J168" i="1"/>
  <c r="I168" i="1"/>
  <c r="F168" i="1"/>
  <c r="E168" i="1"/>
  <c r="AE167" i="1"/>
  <c r="AC167" i="1"/>
  <c r="AB167" i="1"/>
  <c r="AD167" i="1" s="1"/>
  <c r="Z167" i="1"/>
  <c r="Y167" i="1"/>
  <c r="V167" i="1"/>
  <c r="U167" i="1"/>
  <c r="R167" i="1"/>
  <c r="Q167" i="1"/>
  <c r="N167" i="1"/>
  <c r="M167" i="1"/>
  <c r="J167" i="1"/>
  <c r="I167" i="1"/>
  <c r="F167" i="1"/>
  <c r="E167" i="1"/>
  <c r="AC166" i="1"/>
  <c r="AB166" i="1"/>
  <c r="AD166" i="1" s="1"/>
  <c r="Z166" i="1"/>
  <c r="Y166" i="1"/>
  <c r="V166" i="1"/>
  <c r="U166" i="1"/>
  <c r="R166" i="1"/>
  <c r="Q166" i="1"/>
  <c r="N166" i="1"/>
  <c r="M166" i="1"/>
  <c r="J166" i="1"/>
  <c r="I166" i="1"/>
  <c r="F166" i="1"/>
  <c r="E166" i="1"/>
  <c r="AB156" i="1"/>
  <c r="AB155" i="1"/>
  <c r="AB152" i="1"/>
  <c r="X152" i="1"/>
  <c r="W152" i="1"/>
  <c r="P152" i="1"/>
  <c r="Q152" i="1" s="1"/>
  <c r="O152" i="1"/>
  <c r="L152" i="1"/>
  <c r="H152" i="1"/>
  <c r="G152" i="1"/>
  <c r="AC151" i="1"/>
  <c r="AD151" i="1" s="1"/>
  <c r="AB151" i="1"/>
  <c r="AA151" i="1"/>
  <c r="Z151" i="1"/>
  <c r="Y151" i="1"/>
  <c r="X151" i="1"/>
  <c r="W151" i="1"/>
  <c r="V151" i="1"/>
  <c r="U151" i="1"/>
  <c r="T151" i="1"/>
  <c r="T152" i="1" s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D152" i="1" s="1"/>
  <c r="C151" i="1"/>
  <c r="AE150" i="1"/>
  <c r="AD150" i="1"/>
  <c r="AC150" i="1"/>
  <c r="AB150" i="1"/>
  <c r="Z150" i="1"/>
  <c r="Y150" i="1"/>
  <c r="V150" i="1"/>
  <c r="U150" i="1"/>
  <c r="R150" i="1"/>
  <c r="Q150" i="1"/>
  <c r="N150" i="1"/>
  <c r="M150" i="1"/>
  <c r="J150" i="1"/>
  <c r="I150" i="1"/>
  <c r="F150" i="1"/>
  <c r="E150" i="1"/>
  <c r="AE149" i="1"/>
  <c r="AD149" i="1"/>
  <c r="AC149" i="1"/>
  <c r="AB149" i="1"/>
  <c r="Z149" i="1"/>
  <c r="Y149" i="1"/>
  <c r="V149" i="1"/>
  <c r="U149" i="1"/>
  <c r="R149" i="1"/>
  <c r="Q149" i="1"/>
  <c r="N149" i="1"/>
  <c r="M149" i="1"/>
  <c r="J149" i="1"/>
  <c r="I149" i="1"/>
  <c r="F149" i="1"/>
  <c r="E149" i="1"/>
  <c r="AE148" i="1"/>
  <c r="AD148" i="1"/>
  <c r="AC148" i="1"/>
  <c r="AB148" i="1"/>
  <c r="Z148" i="1"/>
  <c r="Y148" i="1"/>
  <c r="V148" i="1"/>
  <c r="U148" i="1"/>
  <c r="R148" i="1"/>
  <c r="Q148" i="1"/>
  <c r="N148" i="1"/>
  <c r="M148" i="1"/>
  <c r="J148" i="1"/>
  <c r="I148" i="1"/>
  <c r="F148" i="1"/>
  <c r="E148" i="1"/>
  <c r="AE147" i="1"/>
  <c r="AD147" i="1"/>
  <c r="AC147" i="1"/>
  <c r="AB147" i="1"/>
  <c r="Z147" i="1"/>
  <c r="Y147" i="1"/>
  <c r="V147" i="1"/>
  <c r="U147" i="1"/>
  <c r="R147" i="1"/>
  <c r="Q147" i="1"/>
  <c r="N147" i="1"/>
  <c r="M147" i="1"/>
  <c r="J147" i="1"/>
  <c r="I147" i="1"/>
  <c r="F147" i="1"/>
  <c r="E147" i="1"/>
  <c r="AE146" i="1"/>
  <c r="AD146" i="1"/>
  <c r="AC146" i="1"/>
  <c r="AB146" i="1"/>
  <c r="Z146" i="1"/>
  <c r="Y146" i="1"/>
  <c r="V146" i="1"/>
  <c r="U146" i="1"/>
  <c r="R146" i="1"/>
  <c r="Q146" i="1"/>
  <c r="N146" i="1"/>
  <c r="M146" i="1"/>
  <c r="J146" i="1"/>
  <c r="I146" i="1"/>
  <c r="F146" i="1"/>
  <c r="E146" i="1"/>
  <c r="AE145" i="1"/>
  <c r="AD145" i="1"/>
  <c r="AC145" i="1"/>
  <c r="AB145" i="1"/>
  <c r="Z145" i="1"/>
  <c r="Y145" i="1"/>
  <c r="V145" i="1"/>
  <c r="U145" i="1"/>
  <c r="R145" i="1"/>
  <c r="Q145" i="1"/>
  <c r="N145" i="1"/>
  <c r="M145" i="1"/>
  <c r="J145" i="1"/>
  <c r="I145" i="1"/>
  <c r="F145" i="1"/>
  <c r="E145" i="1"/>
  <c r="AA144" i="1"/>
  <c r="AA152" i="1" s="1"/>
  <c r="Z144" i="1"/>
  <c r="Y144" i="1"/>
  <c r="X144" i="1"/>
  <c r="W144" i="1"/>
  <c r="T144" i="1"/>
  <c r="S144" i="1"/>
  <c r="V144" i="1" s="1"/>
  <c r="R144" i="1"/>
  <c r="Q144" i="1"/>
  <c r="P144" i="1"/>
  <c r="O144" i="1"/>
  <c r="N144" i="1"/>
  <c r="L144" i="1"/>
  <c r="K144" i="1"/>
  <c r="J144" i="1"/>
  <c r="I144" i="1"/>
  <c r="H144" i="1"/>
  <c r="G144" i="1"/>
  <c r="F144" i="1"/>
  <c r="D144" i="1"/>
  <c r="C144" i="1"/>
  <c r="AE143" i="1"/>
  <c r="AD143" i="1"/>
  <c r="AC143" i="1"/>
  <c r="AB143" i="1"/>
  <c r="Z143" i="1"/>
  <c r="Y143" i="1"/>
  <c r="V143" i="1"/>
  <c r="U143" i="1"/>
  <c r="R143" i="1"/>
  <c r="Q143" i="1"/>
  <c r="N143" i="1"/>
  <c r="M143" i="1"/>
  <c r="J143" i="1"/>
  <c r="I143" i="1"/>
  <c r="F143" i="1"/>
  <c r="E143" i="1"/>
  <c r="AE142" i="1"/>
  <c r="AD142" i="1"/>
  <c r="AC142" i="1"/>
  <c r="AB142" i="1"/>
  <c r="Z142" i="1"/>
  <c r="Y142" i="1"/>
  <c r="V142" i="1"/>
  <c r="U142" i="1"/>
  <c r="R142" i="1"/>
  <c r="Q142" i="1"/>
  <c r="N142" i="1"/>
  <c r="M142" i="1"/>
  <c r="J142" i="1"/>
  <c r="I142" i="1"/>
  <c r="F142" i="1"/>
  <c r="E142" i="1"/>
  <c r="AE141" i="1"/>
  <c r="AD141" i="1"/>
  <c r="AC141" i="1"/>
  <c r="AB141" i="1"/>
  <c r="Z141" i="1"/>
  <c r="Y141" i="1"/>
  <c r="V141" i="1"/>
  <c r="U141" i="1"/>
  <c r="R141" i="1"/>
  <c r="Q141" i="1"/>
  <c r="N141" i="1"/>
  <c r="M141" i="1"/>
  <c r="J141" i="1"/>
  <c r="I141" i="1"/>
  <c r="F141" i="1"/>
  <c r="E141" i="1"/>
  <c r="AE140" i="1"/>
  <c r="AD140" i="1"/>
  <c r="AC140" i="1"/>
  <c r="AB140" i="1"/>
  <c r="Z140" i="1"/>
  <c r="Y140" i="1"/>
  <c r="V140" i="1"/>
  <c r="U140" i="1"/>
  <c r="R140" i="1"/>
  <c r="Q140" i="1"/>
  <c r="N140" i="1"/>
  <c r="M140" i="1"/>
  <c r="J140" i="1"/>
  <c r="I140" i="1"/>
  <c r="F140" i="1"/>
  <c r="E140" i="1"/>
  <c r="AE139" i="1"/>
  <c r="AD139" i="1"/>
  <c r="AC139" i="1"/>
  <c r="AB139" i="1"/>
  <c r="Z139" i="1"/>
  <c r="Y139" i="1"/>
  <c r="V139" i="1"/>
  <c r="U139" i="1"/>
  <c r="R139" i="1"/>
  <c r="Q139" i="1"/>
  <c r="N139" i="1"/>
  <c r="M139" i="1"/>
  <c r="J139" i="1"/>
  <c r="I139" i="1"/>
  <c r="F139" i="1"/>
  <c r="E139" i="1"/>
  <c r="AE138" i="1"/>
  <c r="AD138" i="1"/>
  <c r="AC138" i="1"/>
  <c r="AB138" i="1"/>
  <c r="Z138" i="1"/>
  <c r="Y138" i="1"/>
  <c r="V138" i="1"/>
  <c r="U138" i="1"/>
  <c r="R138" i="1"/>
  <c r="Q138" i="1"/>
  <c r="N138" i="1"/>
  <c r="M138" i="1"/>
  <c r="J138" i="1"/>
  <c r="I138" i="1"/>
  <c r="F138" i="1"/>
  <c r="E138" i="1"/>
  <c r="AE137" i="1"/>
  <c r="AD137" i="1"/>
  <c r="AC137" i="1"/>
  <c r="AB137" i="1"/>
  <c r="Z137" i="1"/>
  <c r="Y137" i="1"/>
  <c r="V137" i="1"/>
  <c r="U137" i="1"/>
  <c r="R137" i="1"/>
  <c r="Q137" i="1"/>
  <c r="N137" i="1"/>
  <c r="M137" i="1"/>
  <c r="J137" i="1"/>
  <c r="I137" i="1"/>
  <c r="F137" i="1"/>
  <c r="E137" i="1"/>
  <c r="AE136" i="1"/>
  <c r="AD136" i="1"/>
  <c r="AC136" i="1"/>
  <c r="AB136" i="1"/>
  <c r="Z136" i="1"/>
  <c r="Y136" i="1"/>
  <c r="V136" i="1"/>
  <c r="U136" i="1"/>
  <c r="R136" i="1"/>
  <c r="Q136" i="1"/>
  <c r="N136" i="1"/>
  <c r="M136" i="1"/>
  <c r="J136" i="1"/>
  <c r="I136" i="1"/>
  <c r="F136" i="1"/>
  <c r="E136" i="1"/>
  <c r="AE135" i="1"/>
  <c r="AD135" i="1"/>
  <c r="AC135" i="1"/>
  <c r="AB135" i="1"/>
  <c r="Z135" i="1"/>
  <c r="Y135" i="1"/>
  <c r="V135" i="1"/>
  <c r="U135" i="1"/>
  <c r="R135" i="1"/>
  <c r="Q135" i="1"/>
  <c r="N135" i="1"/>
  <c r="M135" i="1"/>
  <c r="J135" i="1"/>
  <c r="I135" i="1"/>
  <c r="F135" i="1"/>
  <c r="E135" i="1"/>
  <c r="AE134" i="1"/>
  <c r="AD134" i="1"/>
  <c r="AC134" i="1"/>
  <c r="AC144" i="1" s="1"/>
  <c r="AB134" i="1"/>
  <c r="AB144" i="1" s="1"/>
  <c r="Z134" i="1"/>
  <c r="Y134" i="1"/>
  <c r="V134" i="1"/>
  <c r="U134" i="1"/>
  <c r="R134" i="1"/>
  <c r="Q134" i="1"/>
  <c r="N134" i="1"/>
  <c r="M134" i="1"/>
  <c r="J134" i="1"/>
  <c r="I134" i="1"/>
  <c r="F134" i="1"/>
  <c r="E134" i="1"/>
  <c r="AA133" i="1"/>
  <c r="W133" i="1"/>
  <c r="W158" i="1" s="1"/>
  <c r="O133" i="1"/>
  <c r="H133" i="1"/>
  <c r="C133" i="1"/>
  <c r="AA132" i="1"/>
  <c r="AA153" i="1" s="1"/>
  <c r="X132" i="1"/>
  <c r="W132" i="1"/>
  <c r="U132" i="1"/>
  <c r="T132" i="1"/>
  <c r="S132" i="1"/>
  <c r="V132" i="1" s="1"/>
  <c r="P132" i="1"/>
  <c r="O132" i="1"/>
  <c r="L132" i="1"/>
  <c r="M132" i="1" s="1"/>
  <c r="K132" i="1"/>
  <c r="H132" i="1"/>
  <c r="G132" i="1"/>
  <c r="G133" i="1" s="1"/>
  <c r="E132" i="1"/>
  <c r="D132" i="1"/>
  <c r="C132" i="1"/>
  <c r="AC131" i="1"/>
  <c r="AB131" i="1"/>
  <c r="Z131" i="1"/>
  <c r="Y131" i="1"/>
  <c r="V131" i="1"/>
  <c r="U131" i="1"/>
  <c r="R131" i="1"/>
  <c r="Q131" i="1"/>
  <c r="N131" i="1"/>
  <c r="M131" i="1"/>
  <c r="J131" i="1"/>
  <c r="I131" i="1"/>
  <c r="F131" i="1"/>
  <c r="E131" i="1"/>
  <c r="AC130" i="1"/>
  <c r="AB130" i="1"/>
  <c r="Z130" i="1"/>
  <c r="Y130" i="1"/>
  <c r="V130" i="1"/>
  <c r="U130" i="1"/>
  <c r="R130" i="1"/>
  <c r="Q130" i="1"/>
  <c r="N130" i="1"/>
  <c r="M130" i="1"/>
  <c r="J130" i="1"/>
  <c r="I130" i="1"/>
  <c r="F130" i="1"/>
  <c r="E130" i="1"/>
  <c r="AC129" i="1"/>
  <c r="AB129" i="1"/>
  <c r="Z129" i="1"/>
  <c r="Y129" i="1"/>
  <c r="V129" i="1"/>
  <c r="U129" i="1"/>
  <c r="R129" i="1"/>
  <c r="Q129" i="1"/>
  <c r="N129" i="1"/>
  <c r="M129" i="1"/>
  <c r="J129" i="1"/>
  <c r="I129" i="1"/>
  <c r="F129" i="1"/>
  <c r="E129" i="1"/>
  <c r="AC128" i="1"/>
  <c r="AB128" i="1"/>
  <c r="Z128" i="1"/>
  <c r="Y128" i="1"/>
  <c r="V128" i="1"/>
  <c r="U128" i="1"/>
  <c r="R128" i="1"/>
  <c r="Q128" i="1"/>
  <c r="N128" i="1"/>
  <c r="M128" i="1"/>
  <c r="J128" i="1"/>
  <c r="I128" i="1"/>
  <c r="F128" i="1"/>
  <c r="E128" i="1"/>
  <c r="AC127" i="1"/>
  <c r="AB127" i="1"/>
  <c r="Z127" i="1"/>
  <c r="Y127" i="1"/>
  <c r="V127" i="1"/>
  <c r="U127" i="1"/>
  <c r="R127" i="1"/>
  <c r="Q127" i="1"/>
  <c r="N127" i="1"/>
  <c r="M127" i="1"/>
  <c r="J127" i="1"/>
  <c r="I127" i="1"/>
  <c r="F127" i="1"/>
  <c r="E127" i="1"/>
  <c r="AC126" i="1"/>
  <c r="AC132" i="1" s="1"/>
  <c r="AB126" i="1"/>
  <c r="Z126" i="1"/>
  <c r="Y126" i="1"/>
  <c r="V126" i="1"/>
  <c r="U126" i="1"/>
  <c r="R126" i="1"/>
  <c r="Q126" i="1"/>
  <c r="N126" i="1"/>
  <c r="M126" i="1"/>
  <c r="J126" i="1"/>
  <c r="I126" i="1"/>
  <c r="F126" i="1"/>
  <c r="E126" i="1"/>
  <c r="AC125" i="1"/>
  <c r="AB125" i="1"/>
  <c r="AB132" i="1" s="1"/>
  <c r="Z125" i="1"/>
  <c r="Y125" i="1"/>
  <c r="V125" i="1"/>
  <c r="U125" i="1"/>
  <c r="R125" i="1"/>
  <c r="Q125" i="1"/>
  <c r="N125" i="1"/>
  <c r="M125" i="1"/>
  <c r="J125" i="1"/>
  <c r="I125" i="1"/>
  <c r="F125" i="1"/>
  <c r="E125" i="1"/>
  <c r="AA124" i="1"/>
  <c r="Z124" i="1"/>
  <c r="Y124" i="1"/>
  <c r="X124" i="1"/>
  <c r="X133" i="1" s="1"/>
  <c r="Z133" i="1" s="1"/>
  <c r="W124" i="1"/>
  <c r="U124" i="1"/>
  <c r="T124" i="1"/>
  <c r="S124" i="1"/>
  <c r="Q124" i="1"/>
  <c r="P124" i="1"/>
  <c r="P133" i="1" s="1"/>
  <c r="R133" i="1" s="1"/>
  <c r="O124" i="1"/>
  <c r="L124" i="1"/>
  <c r="K124" i="1"/>
  <c r="J124" i="1"/>
  <c r="H124" i="1"/>
  <c r="I124" i="1" s="1"/>
  <c r="G124" i="1"/>
  <c r="D124" i="1"/>
  <c r="C124" i="1"/>
  <c r="AD123" i="1"/>
  <c r="AC123" i="1"/>
  <c r="AE123" i="1" s="1"/>
  <c r="AB123" i="1"/>
  <c r="Z123" i="1"/>
  <c r="Y123" i="1"/>
  <c r="V123" i="1"/>
  <c r="U123" i="1"/>
  <c r="R123" i="1"/>
  <c r="Q123" i="1"/>
  <c r="N123" i="1"/>
  <c r="M123" i="1"/>
  <c r="J123" i="1"/>
  <c r="I123" i="1"/>
  <c r="F123" i="1"/>
  <c r="E123" i="1"/>
  <c r="AD122" i="1"/>
  <c r="AC122" i="1"/>
  <c r="AE122" i="1" s="1"/>
  <c r="AB122" i="1"/>
  <c r="Z122" i="1"/>
  <c r="Y122" i="1"/>
  <c r="V122" i="1"/>
  <c r="U122" i="1"/>
  <c r="R122" i="1"/>
  <c r="Q122" i="1"/>
  <c r="N122" i="1"/>
  <c r="M122" i="1"/>
  <c r="J122" i="1"/>
  <c r="I122" i="1"/>
  <c r="F122" i="1"/>
  <c r="E122" i="1"/>
  <c r="AD121" i="1"/>
  <c r="AC121" i="1"/>
  <c r="AE121" i="1" s="1"/>
  <c r="AB121" i="1"/>
  <c r="Z121" i="1"/>
  <c r="Y121" i="1"/>
  <c r="V121" i="1"/>
  <c r="U121" i="1"/>
  <c r="R121" i="1"/>
  <c r="Q121" i="1"/>
  <c r="N121" i="1"/>
  <c r="M121" i="1"/>
  <c r="J121" i="1"/>
  <c r="I121" i="1"/>
  <c r="F121" i="1"/>
  <c r="E121" i="1"/>
  <c r="AD120" i="1"/>
  <c r="AC120" i="1"/>
  <c r="AE120" i="1" s="1"/>
  <c r="AB120" i="1"/>
  <c r="Z120" i="1"/>
  <c r="Y120" i="1"/>
  <c r="V120" i="1"/>
  <c r="U120" i="1"/>
  <c r="R120" i="1"/>
  <c r="Q120" i="1"/>
  <c r="N120" i="1"/>
  <c r="M120" i="1"/>
  <c r="J120" i="1"/>
  <c r="I120" i="1"/>
  <c r="F120" i="1"/>
  <c r="E120" i="1"/>
  <c r="AD119" i="1"/>
  <c r="AC119" i="1"/>
  <c r="AE119" i="1" s="1"/>
  <c r="AB119" i="1"/>
  <c r="Z119" i="1"/>
  <c r="Y119" i="1"/>
  <c r="V119" i="1"/>
  <c r="U119" i="1"/>
  <c r="R119" i="1"/>
  <c r="Q119" i="1"/>
  <c r="N119" i="1"/>
  <c r="M119" i="1"/>
  <c r="J119" i="1"/>
  <c r="I119" i="1"/>
  <c r="F119" i="1"/>
  <c r="E119" i="1"/>
  <c r="AD118" i="1"/>
  <c r="AC118" i="1"/>
  <c r="AE118" i="1" s="1"/>
  <c r="AB118" i="1"/>
  <c r="Z118" i="1"/>
  <c r="Y118" i="1"/>
  <c r="V118" i="1"/>
  <c r="U118" i="1"/>
  <c r="R118" i="1"/>
  <c r="Q118" i="1"/>
  <c r="N118" i="1"/>
  <c r="M118" i="1"/>
  <c r="J118" i="1"/>
  <c r="I118" i="1"/>
  <c r="F118" i="1"/>
  <c r="E118" i="1"/>
  <c r="AD117" i="1"/>
  <c r="AC117" i="1"/>
  <c r="AE117" i="1" s="1"/>
  <c r="AB117" i="1"/>
  <c r="Z117" i="1"/>
  <c r="Y117" i="1"/>
  <c r="V117" i="1"/>
  <c r="U117" i="1"/>
  <c r="R117" i="1"/>
  <c r="Q117" i="1"/>
  <c r="N117" i="1"/>
  <c r="M117" i="1"/>
  <c r="J117" i="1"/>
  <c r="I117" i="1"/>
  <c r="F117" i="1"/>
  <c r="E117" i="1"/>
  <c r="AD116" i="1"/>
  <c r="AC116" i="1"/>
  <c r="AE116" i="1" s="1"/>
  <c r="AB116" i="1"/>
  <c r="Z116" i="1"/>
  <c r="Y116" i="1"/>
  <c r="V116" i="1"/>
  <c r="U116" i="1"/>
  <c r="R116" i="1"/>
  <c r="Q116" i="1"/>
  <c r="N116" i="1"/>
  <c r="M116" i="1"/>
  <c r="J116" i="1"/>
  <c r="I116" i="1"/>
  <c r="F116" i="1"/>
  <c r="E116" i="1"/>
  <c r="AD115" i="1"/>
  <c r="AC115" i="1"/>
  <c r="AE115" i="1" s="1"/>
  <c r="AB115" i="1"/>
  <c r="Z115" i="1"/>
  <c r="Y115" i="1"/>
  <c r="U115" i="1"/>
  <c r="R115" i="1"/>
  <c r="Q115" i="1"/>
  <c r="N115" i="1"/>
  <c r="M115" i="1"/>
  <c r="J115" i="1"/>
  <c r="I115" i="1"/>
  <c r="F115" i="1"/>
  <c r="E115" i="1"/>
  <c r="AD114" i="1"/>
  <c r="AC114" i="1"/>
  <c r="AB114" i="1"/>
  <c r="AE114" i="1" s="1"/>
  <c r="Z114" i="1"/>
  <c r="Y114" i="1"/>
  <c r="V114" i="1"/>
  <c r="U114" i="1"/>
  <c r="R114" i="1"/>
  <c r="Q114" i="1"/>
  <c r="N114" i="1"/>
  <c r="M114" i="1"/>
  <c r="J114" i="1"/>
  <c r="I114" i="1"/>
  <c r="F114" i="1"/>
  <c r="E114" i="1"/>
  <c r="AC113" i="1"/>
  <c r="AD113" i="1" s="1"/>
  <c r="AB113" i="1"/>
  <c r="Z113" i="1"/>
  <c r="Y113" i="1"/>
  <c r="V113" i="1"/>
  <c r="U113" i="1"/>
  <c r="R113" i="1"/>
  <c r="Q113" i="1"/>
  <c r="N113" i="1"/>
  <c r="M113" i="1"/>
  <c r="J113" i="1"/>
  <c r="I113" i="1"/>
  <c r="F113" i="1"/>
  <c r="E113" i="1"/>
  <c r="AB103" i="1"/>
  <c r="AB102" i="1"/>
  <c r="AA100" i="1"/>
  <c r="T99" i="1"/>
  <c r="L99" i="1"/>
  <c r="D99" i="1"/>
  <c r="AC98" i="1"/>
  <c r="AA98" i="1"/>
  <c r="Z98" i="1"/>
  <c r="Y98" i="1"/>
  <c r="X98" i="1"/>
  <c r="W98" i="1"/>
  <c r="U98" i="1"/>
  <c r="T98" i="1"/>
  <c r="S98" i="1"/>
  <c r="V98" i="1" s="1"/>
  <c r="R98" i="1"/>
  <c r="Q98" i="1"/>
  <c r="P98" i="1"/>
  <c r="O98" i="1"/>
  <c r="M98" i="1"/>
  <c r="L98" i="1"/>
  <c r="K98" i="1"/>
  <c r="N98" i="1" s="1"/>
  <c r="J98" i="1"/>
  <c r="I98" i="1"/>
  <c r="H98" i="1"/>
  <c r="G98" i="1"/>
  <c r="E98" i="1"/>
  <c r="D98" i="1"/>
  <c r="C98" i="1"/>
  <c r="F98" i="1" s="1"/>
  <c r="AE97" i="1"/>
  <c r="AD97" i="1"/>
  <c r="AC97" i="1"/>
  <c r="AB97" i="1"/>
  <c r="Z97" i="1"/>
  <c r="Y97" i="1"/>
  <c r="V97" i="1"/>
  <c r="U97" i="1"/>
  <c r="R97" i="1"/>
  <c r="Q97" i="1"/>
  <c r="N97" i="1"/>
  <c r="M97" i="1"/>
  <c r="J97" i="1"/>
  <c r="I97" i="1"/>
  <c r="F97" i="1"/>
  <c r="E97" i="1"/>
  <c r="AE96" i="1"/>
  <c r="AD96" i="1"/>
  <c r="AC96" i="1"/>
  <c r="AB96" i="1"/>
  <c r="Z96" i="1"/>
  <c r="Y96" i="1"/>
  <c r="V96" i="1"/>
  <c r="U96" i="1"/>
  <c r="R96" i="1"/>
  <c r="Q96" i="1"/>
  <c r="N96" i="1"/>
  <c r="M96" i="1"/>
  <c r="J96" i="1"/>
  <c r="I96" i="1"/>
  <c r="F96" i="1"/>
  <c r="E96" i="1"/>
  <c r="AE95" i="1"/>
  <c r="AD95" i="1"/>
  <c r="AC95" i="1"/>
  <c r="AB95" i="1"/>
  <c r="Z95" i="1"/>
  <c r="Y95" i="1"/>
  <c r="V95" i="1"/>
  <c r="U95" i="1"/>
  <c r="R95" i="1"/>
  <c r="Q95" i="1"/>
  <c r="N95" i="1"/>
  <c r="M95" i="1"/>
  <c r="J95" i="1"/>
  <c r="I95" i="1"/>
  <c r="F95" i="1"/>
  <c r="E95" i="1"/>
  <c r="AE94" i="1"/>
  <c r="AD94" i="1"/>
  <c r="AC94" i="1"/>
  <c r="AB94" i="1"/>
  <c r="Z94" i="1"/>
  <c r="Y94" i="1"/>
  <c r="V94" i="1"/>
  <c r="U94" i="1"/>
  <c r="R94" i="1"/>
  <c r="Q94" i="1"/>
  <c r="N94" i="1"/>
  <c r="M94" i="1"/>
  <c r="J94" i="1"/>
  <c r="I94" i="1"/>
  <c r="F94" i="1"/>
  <c r="E94" i="1"/>
  <c r="AE93" i="1"/>
  <c r="AD93" i="1"/>
  <c r="AC93" i="1"/>
  <c r="AB93" i="1"/>
  <c r="Z93" i="1"/>
  <c r="Y93" i="1"/>
  <c r="V93" i="1"/>
  <c r="U93" i="1"/>
  <c r="R93" i="1"/>
  <c r="Q93" i="1"/>
  <c r="N93" i="1"/>
  <c r="M93" i="1"/>
  <c r="J93" i="1"/>
  <c r="I93" i="1"/>
  <c r="F93" i="1"/>
  <c r="E93" i="1"/>
  <c r="AE92" i="1"/>
  <c r="AD92" i="1"/>
  <c r="AC92" i="1"/>
  <c r="AB92" i="1"/>
  <c r="AB98" i="1" s="1"/>
  <c r="AD98" i="1" s="1"/>
  <c r="Z92" i="1"/>
  <c r="Y92" i="1"/>
  <c r="V92" i="1"/>
  <c r="U92" i="1"/>
  <c r="R92" i="1"/>
  <c r="Q92" i="1"/>
  <c r="N92" i="1"/>
  <c r="M92" i="1"/>
  <c r="J92" i="1"/>
  <c r="I92" i="1"/>
  <c r="F92" i="1"/>
  <c r="E92" i="1"/>
  <c r="AA91" i="1"/>
  <c r="AA99" i="1" s="1"/>
  <c r="Z91" i="1"/>
  <c r="X91" i="1"/>
  <c r="X99" i="1" s="1"/>
  <c r="W91" i="1"/>
  <c r="T91" i="1"/>
  <c r="S91" i="1"/>
  <c r="P91" i="1"/>
  <c r="P99" i="1" s="1"/>
  <c r="O91" i="1"/>
  <c r="L91" i="1"/>
  <c r="K91" i="1"/>
  <c r="H91" i="1"/>
  <c r="H99" i="1" s="1"/>
  <c r="G91" i="1"/>
  <c r="J91" i="1" s="1"/>
  <c r="F91" i="1"/>
  <c r="D91" i="1"/>
  <c r="C91" i="1"/>
  <c r="AC90" i="1"/>
  <c r="AE90" i="1" s="1"/>
  <c r="AB90" i="1"/>
  <c r="Z90" i="1"/>
  <c r="Y90" i="1"/>
  <c r="V90" i="1"/>
  <c r="U90" i="1"/>
  <c r="R90" i="1"/>
  <c r="Q90" i="1"/>
  <c r="N90" i="1"/>
  <c r="M90" i="1"/>
  <c r="J90" i="1"/>
  <c r="I90" i="1"/>
  <c r="F90" i="1"/>
  <c r="E90" i="1"/>
  <c r="AC89" i="1"/>
  <c r="AB89" i="1"/>
  <c r="AD89" i="1" s="1"/>
  <c r="Z89" i="1"/>
  <c r="Y89" i="1"/>
  <c r="V89" i="1"/>
  <c r="U89" i="1"/>
  <c r="R89" i="1"/>
  <c r="Q89" i="1"/>
  <c r="N89" i="1"/>
  <c r="M89" i="1"/>
  <c r="J89" i="1"/>
  <c r="I89" i="1"/>
  <c r="F89" i="1"/>
  <c r="E89" i="1"/>
  <c r="AE88" i="1"/>
  <c r="AC88" i="1"/>
  <c r="AB88" i="1"/>
  <c r="AD88" i="1" s="1"/>
  <c r="Z88" i="1"/>
  <c r="Y88" i="1"/>
  <c r="V88" i="1"/>
  <c r="U88" i="1"/>
  <c r="R88" i="1"/>
  <c r="Q88" i="1"/>
  <c r="N88" i="1"/>
  <c r="M88" i="1"/>
  <c r="J88" i="1"/>
  <c r="I88" i="1"/>
  <c r="F88" i="1"/>
  <c r="E88" i="1"/>
  <c r="AE87" i="1"/>
  <c r="AC87" i="1"/>
  <c r="AB87" i="1"/>
  <c r="Z87" i="1"/>
  <c r="Y87" i="1"/>
  <c r="V87" i="1"/>
  <c r="U87" i="1"/>
  <c r="R87" i="1"/>
  <c r="Q87" i="1"/>
  <c r="N87" i="1"/>
  <c r="M87" i="1"/>
  <c r="J87" i="1"/>
  <c r="I87" i="1"/>
  <c r="F87" i="1"/>
  <c r="E87" i="1"/>
  <c r="AC86" i="1"/>
  <c r="AB86" i="1"/>
  <c r="Z86" i="1"/>
  <c r="Y86" i="1"/>
  <c r="V86" i="1"/>
  <c r="U86" i="1"/>
  <c r="R86" i="1"/>
  <c r="Q86" i="1"/>
  <c r="N86" i="1"/>
  <c r="M86" i="1"/>
  <c r="J86" i="1"/>
  <c r="I86" i="1"/>
  <c r="F86" i="1"/>
  <c r="E86" i="1"/>
  <c r="AE85" i="1"/>
  <c r="AC85" i="1"/>
  <c r="AB85" i="1"/>
  <c r="AD85" i="1" s="1"/>
  <c r="Z85" i="1"/>
  <c r="Y85" i="1"/>
  <c r="V85" i="1"/>
  <c r="U85" i="1"/>
  <c r="R85" i="1"/>
  <c r="Q85" i="1"/>
  <c r="N85" i="1"/>
  <c r="M85" i="1"/>
  <c r="J85" i="1"/>
  <c r="I85" i="1"/>
  <c r="F85" i="1"/>
  <c r="E85" i="1"/>
  <c r="AC84" i="1"/>
  <c r="AB84" i="1"/>
  <c r="AE84" i="1" s="1"/>
  <c r="Z84" i="1"/>
  <c r="Y84" i="1"/>
  <c r="V84" i="1"/>
  <c r="U84" i="1"/>
  <c r="R84" i="1"/>
  <c r="Q84" i="1"/>
  <c r="N84" i="1"/>
  <c r="M84" i="1"/>
  <c r="J84" i="1"/>
  <c r="I84" i="1"/>
  <c r="F84" i="1"/>
  <c r="E84" i="1"/>
  <c r="AC83" i="1"/>
  <c r="AB83" i="1"/>
  <c r="AD83" i="1" s="1"/>
  <c r="Z83" i="1"/>
  <c r="Y83" i="1"/>
  <c r="V83" i="1"/>
  <c r="U83" i="1"/>
  <c r="R83" i="1"/>
  <c r="Q83" i="1"/>
  <c r="N83" i="1"/>
  <c r="M83" i="1"/>
  <c r="J83" i="1"/>
  <c r="I83" i="1"/>
  <c r="F83" i="1"/>
  <c r="E83" i="1"/>
  <c r="AC82" i="1"/>
  <c r="AE82" i="1" s="1"/>
  <c r="AB82" i="1"/>
  <c r="Z82" i="1"/>
  <c r="Y82" i="1"/>
  <c r="V82" i="1"/>
  <c r="U82" i="1"/>
  <c r="R82" i="1"/>
  <c r="Q82" i="1"/>
  <c r="N82" i="1"/>
  <c r="M82" i="1"/>
  <c r="J82" i="1"/>
  <c r="I82" i="1"/>
  <c r="F82" i="1"/>
  <c r="E82" i="1"/>
  <c r="AC81" i="1"/>
  <c r="AB81" i="1"/>
  <c r="Z81" i="1"/>
  <c r="Y81" i="1"/>
  <c r="V81" i="1"/>
  <c r="U81" i="1"/>
  <c r="R81" i="1"/>
  <c r="Q81" i="1"/>
  <c r="N81" i="1"/>
  <c r="M81" i="1"/>
  <c r="J81" i="1"/>
  <c r="I81" i="1"/>
  <c r="F81" i="1"/>
  <c r="E81" i="1"/>
  <c r="AA80" i="1"/>
  <c r="X80" i="1"/>
  <c r="P80" i="1"/>
  <c r="K80" i="1"/>
  <c r="K105" i="1" s="1"/>
  <c r="H80" i="1"/>
  <c r="C80" i="1"/>
  <c r="AC79" i="1"/>
  <c r="AC80" i="1" s="1"/>
  <c r="AA79" i="1"/>
  <c r="Z79" i="1"/>
  <c r="Y79" i="1"/>
  <c r="X79" i="1"/>
  <c r="W79" i="1"/>
  <c r="U79" i="1"/>
  <c r="T79" i="1"/>
  <c r="V79" i="1" s="1"/>
  <c r="S79" i="1"/>
  <c r="R79" i="1"/>
  <c r="Q79" i="1"/>
  <c r="P79" i="1"/>
  <c r="O79" i="1"/>
  <c r="M79" i="1"/>
  <c r="L79" i="1"/>
  <c r="N79" i="1" s="1"/>
  <c r="K79" i="1"/>
  <c r="J79" i="1"/>
  <c r="I79" i="1"/>
  <c r="H79" i="1"/>
  <c r="G79" i="1"/>
  <c r="E79" i="1"/>
  <c r="D79" i="1"/>
  <c r="F79" i="1" s="1"/>
  <c r="C79" i="1"/>
  <c r="AE78" i="1"/>
  <c r="AD78" i="1"/>
  <c r="AC78" i="1"/>
  <c r="AB78" i="1"/>
  <c r="Z78" i="1"/>
  <c r="Y78" i="1"/>
  <c r="V78" i="1"/>
  <c r="U78" i="1"/>
  <c r="R78" i="1"/>
  <c r="Q78" i="1"/>
  <c r="N78" i="1"/>
  <c r="M78" i="1"/>
  <c r="J78" i="1"/>
  <c r="I78" i="1"/>
  <c r="F78" i="1"/>
  <c r="E78" i="1"/>
  <c r="AE77" i="1"/>
  <c r="AD77" i="1"/>
  <c r="AC77" i="1"/>
  <c r="AB77" i="1"/>
  <c r="Z77" i="1"/>
  <c r="Y77" i="1"/>
  <c r="V77" i="1"/>
  <c r="U77" i="1"/>
  <c r="R77" i="1"/>
  <c r="Q77" i="1"/>
  <c r="N77" i="1"/>
  <c r="M77" i="1"/>
  <c r="J77" i="1"/>
  <c r="I77" i="1"/>
  <c r="F77" i="1"/>
  <c r="E77" i="1"/>
  <c r="AC76" i="1"/>
  <c r="AB76" i="1"/>
  <c r="AE76" i="1" s="1"/>
  <c r="Z76" i="1"/>
  <c r="Y76" i="1"/>
  <c r="V76" i="1"/>
  <c r="U76" i="1"/>
  <c r="R76" i="1"/>
  <c r="Q76" i="1"/>
  <c r="N76" i="1"/>
  <c r="M76" i="1"/>
  <c r="J76" i="1"/>
  <c r="I76" i="1"/>
  <c r="F76" i="1"/>
  <c r="E76" i="1"/>
  <c r="AC75" i="1"/>
  <c r="AB75" i="1"/>
  <c r="AE75" i="1" s="1"/>
  <c r="Z75" i="1"/>
  <c r="Y75" i="1"/>
  <c r="V75" i="1"/>
  <c r="U75" i="1"/>
  <c r="R75" i="1"/>
  <c r="Q75" i="1"/>
  <c r="N75" i="1"/>
  <c r="M75" i="1"/>
  <c r="J75" i="1"/>
  <c r="I75" i="1"/>
  <c r="F75" i="1"/>
  <c r="E75" i="1"/>
  <c r="AC74" i="1"/>
  <c r="AB74" i="1"/>
  <c r="AE74" i="1" s="1"/>
  <c r="Z74" i="1"/>
  <c r="Y74" i="1"/>
  <c r="V74" i="1"/>
  <c r="U74" i="1"/>
  <c r="R74" i="1"/>
  <c r="Q74" i="1"/>
  <c r="N74" i="1"/>
  <c r="M74" i="1"/>
  <c r="J74" i="1"/>
  <c r="I74" i="1"/>
  <c r="F74" i="1"/>
  <c r="E74" i="1"/>
  <c r="AC73" i="1"/>
  <c r="AB73" i="1"/>
  <c r="AE73" i="1" s="1"/>
  <c r="Z73" i="1"/>
  <c r="Y73" i="1"/>
  <c r="V73" i="1"/>
  <c r="U73" i="1"/>
  <c r="R73" i="1"/>
  <c r="Q73" i="1"/>
  <c r="N73" i="1"/>
  <c r="M73" i="1"/>
  <c r="J73" i="1"/>
  <c r="I73" i="1"/>
  <c r="F73" i="1"/>
  <c r="E73" i="1"/>
  <c r="AC72" i="1"/>
  <c r="AB72" i="1"/>
  <c r="AB79" i="1" s="1"/>
  <c r="Z72" i="1"/>
  <c r="Y72" i="1"/>
  <c r="V72" i="1"/>
  <c r="U72" i="1"/>
  <c r="R72" i="1"/>
  <c r="Q72" i="1"/>
  <c r="N72" i="1"/>
  <c r="M72" i="1"/>
  <c r="J72" i="1"/>
  <c r="I72" i="1"/>
  <c r="F72" i="1"/>
  <c r="E72" i="1"/>
  <c r="AC71" i="1"/>
  <c r="AB71" i="1"/>
  <c r="AB80" i="1" s="1"/>
  <c r="AA71" i="1"/>
  <c r="Z71" i="1"/>
  <c r="Y71" i="1"/>
  <c r="X71" i="1"/>
  <c r="W71" i="1"/>
  <c r="W80" i="1" s="1"/>
  <c r="T71" i="1"/>
  <c r="T80" i="1" s="1"/>
  <c r="S71" i="1"/>
  <c r="S80" i="1" s="1"/>
  <c r="R71" i="1"/>
  <c r="Q71" i="1"/>
  <c r="P71" i="1"/>
  <c r="O71" i="1"/>
  <c r="O80" i="1" s="1"/>
  <c r="L71" i="1"/>
  <c r="L80" i="1" s="1"/>
  <c r="M80" i="1" s="1"/>
  <c r="K71" i="1"/>
  <c r="M71" i="1" s="1"/>
  <c r="J71" i="1"/>
  <c r="I71" i="1"/>
  <c r="H71" i="1"/>
  <c r="G71" i="1"/>
  <c r="G80" i="1" s="1"/>
  <c r="D71" i="1"/>
  <c r="F71" i="1" s="1"/>
  <c r="C71" i="1"/>
  <c r="E71" i="1" s="1"/>
  <c r="AE70" i="1"/>
  <c r="AD70" i="1"/>
  <c r="AC70" i="1"/>
  <c r="AB70" i="1"/>
  <c r="Z70" i="1"/>
  <c r="Y70" i="1"/>
  <c r="V70" i="1"/>
  <c r="U70" i="1"/>
  <c r="R70" i="1"/>
  <c r="Q70" i="1"/>
  <c r="N70" i="1"/>
  <c r="M70" i="1"/>
  <c r="J70" i="1"/>
  <c r="I70" i="1"/>
  <c r="F70" i="1"/>
  <c r="E70" i="1"/>
  <c r="AE69" i="1"/>
  <c r="AD69" i="1"/>
  <c r="AC69" i="1"/>
  <c r="AB69" i="1"/>
  <c r="Z69" i="1"/>
  <c r="Y69" i="1"/>
  <c r="V69" i="1"/>
  <c r="U69" i="1"/>
  <c r="R69" i="1"/>
  <c r="Q69" i="1"/>
  <c r="N69" i="1"/>
  <c r="M69" i="1"/>
  <c r="J69" i="1"/>
  <c r="I69" i="1"/>
  <c r="F69" i="1"/>
  <c r="E69" i="1"/>
  <c r="AE68" i="1"/>
  <c r="AD68" i="1"/>
  <c r="AC68" i="1"/>
  <c r="AB68" i="1"/>
  <c r="Z68" i="1"/>
  <c r="Y68" i="1"/>
  <c r="V68" i="1"/>
  <c r="U68" i="1"/>
  <c r="R68" i="1"/>
  <c r="Q68" i="1"/>
  <c r="N68" i="1"/>
  <c r="M68" i="1"/>
  <c r="J68" i="1"/>
  <c r="I68" i="1"/>
  <c r="F68" i="1"/>
  <c r="E68" i="1"/>
  <c r="AE67" i="1"/>
  <c r="AD67" i="1"/>
  <c r="AC67" i="1"/>
  <c r="AB67" i="1"/>
  <c r="Z67" i="1"/>
  <c r="Y67" i="1"/>
  <c r="V67" i="1"/>
  <c r="U67" i="1"/>
  <c r="R67" i="1"/>
  <c r="Q67" i="1"/>
  <c r="N67" i="1"/>
  <c r="M67" i="1"/>
  <c r="J67" i="1"/>
  <c r="I67" i="1"/>
  <c r="F67" i="1"/>
  <c r="E67" i="1"/>
  <c r="AE66" i="1"/>
  <c r="AD66" i="1"/>
  <c r="AC66" i="1"/>
  <c r="AB66" i="1"/>
  <c r="Z66" i="1"/>
  <c r="Y66" i="1"/>
  <c r="V66" i="1"/>
  <c r="U66" i="1"/>
  <c r="R66" i="1"/>
  <c r="Q66" i="1"/>
  <c r="N66" i="1"/>
  <c r="M66" i="1"/>
  <c r="J66" i="1"/>
  <c r="I66" i="1"/>
  <c r="F66" i="1"/>
  <c r="E66" i="1"/>
  <c r="AE65" i="1"/>
  <c r="AD65" i="1"/>
  <c r="AC65" i="1"/>
  <c r="AB65" i="1"/>
  <c r="Z65" i="1"/>
  <c r="Y65" i="1"/>
  <c r="V65" i="1"/>
  <c r="U65" i="1"/>
  <c r="R65" i="1"/>
  <c r="Q65" i="1"/>
  <c r="N65" i="1"/>
  <c r="M65" i="1"/>
  <c r="J65" i="1"/>
  <c r="I65" i="1"/>
  <c r="F65" i="1"/>
  <c r="E65" i="1"/>
  <c r="AE64" i="1"/>
  <c r="AD64" i="1"/>
  <c r="AC64" i="1"/>
  <c r="AB64" i="1"/>
  <c r="Z64" i="1"/>
  <c r="Y64" i="1"/>
  <c r="V64" i="1"/>
  <c r="U64" i="1"/>
  <c r="R64" i="1"/>
  <c r="Q64" i="1"/>
  <c r="N64" i="1"/>
  <c r="M64" i="1"/>
  <c r="J64" i="1"/>
  <c r="I64" i="1"/>
  <c r="F64" i="1"/>
  <c r="E64" i="1"/>
  <c r="AE63" i="1"/>
  <c r="AD63" i="1"/>
  <c r="AC63" i="1"/>
  <c r="AB63" i="1"/>
  <c r="Z63" i="1"/>
  <c r="Y63" i="1"/>
  <c r="V63" i="1"/>
  <c r="U63" i="1"/>
  <c r="R63" i="1"/>
  <c r="Q63" i="1"/>
  <c r="N63" i="1"/>
  <c r="M63" i="1"/>
  <c r="J63" i="1"/>
  <c r="I63" i="1"/>
  <c r="F63" i="1"/>
  <c r="E63" i="1"/>
  <c r="AE62" i="1"/>
  <c r="AD62" i="1"/>
  <c r="AC62" i="1"/>
  <c r="AB62" i="1"/>
  <c r="Z62" i="1"/>
  <c r="Y62" i="1"/>
  <c r="V62" i="1"/>
  <c r="U62" i="1"/>
  <c r="R62" i="1"/>
  <c r="Q62" i="1"/>
  <c r="N62" i="1"/>
  <c r="M62" i="1"/>
  <c r="J62" i="1"/>
  <c r="I62" i="1"/>
  <c r="F62" i="1"/>
  <c r="E62" i="1"/>
  <c r="AE61" i="1"/>
  <c r="AD61" i="1"/>
  <c r="AC61" i="1"/>
  <c r="AB61" i="1"/>
  <c r="Z61" i="1"/>
  <c r="Y61" i="1"/>
  <c r="V61" i="1"/>
  <c r="U61" i="1"/>
  <c r="R61" i="1"/>
  <c r="Q61" i="1"/>
  <c r="N61" i="1"/>
  <c r="M61" i="1"/>
  <c r="J61" i="1"/>
  <c r="I61" i="1"/>
  <c r="F61" i="1"/>
  <c r="E61" i="1"/>
  <c r="AE60" i="1"/>
  <c r="AD60" i="1"/>
  <c r="AC60" i="1"/>
  <c r="AB60" i="1"/>
  <c r="Z60" i="1"/>
  <c r="Y60" i="1"/>
  <c r="V60" i="1"/>
  <c r="U60" i="1"/>
  <c r="R60" i="1"/>
  <c r="Q60" i="1"/>
  <c r="N60" i="1"/>
  <c r="M60" i="1"/>
  <c r="J60" i="1"/>
  <c r="I60" i="1"/>
  <c r="F60" i="1"/>
  <c r="E60" i="1"/>
  <c r="AB50" i="1"/>
  <c r="AB49" i="1"/>
  <c r="W46" i="1"/>
  <c r="W53" i="1" s="1"/>
  <c r="T46" i="1"/>
  <c r="O46" i="1"/>
  <c r="O53" i="1" s="1"/>
  <c r="D46" i="1"/>
  <c r="AB45" i="1"/>
  <c r="AA45" i="1"/>
  <c r="X45" i="1"/>
  <c r="Y45" i="1" s="1"/>
  <c r="W45" i="1"/>
  <c r="V45" i="1"/>
  <c r="T45" i="1"/>
  <c r="S45" i="1"/>
  <c r="U45" i="1" s="1"/>
  <c r="P45" i="1"/>
  <c r="R45" i="1" s="1"/>
  <c r="O45" i="1"/>
  <c r="N45" i="1"/>
  <c r="L45" i="1"/>
  <c r="K45" i="1"/>
  <c r="M45" i="1" s="1"/>
  <c r="H45" i="1"/>
  <c r="J45" i="1" s="1"/>
  <c r="G45" i="1"/>
  <c r="F45" i="1"/>
  <c r="D45" i="1"/>
  <c r="C45" i="1"/>
  <c r="E45" i="1" s="1"/>
  <c r="AC44" i="1"/>
  <c r="AE44" i="1" s="1"/>
  <c r="AB44" i="1"/>
  <c r="Z44" i="1"/>
  <c r="Y44" i="1"/>
  <c r="V44" i="1"/>
  <c r="U44" i="1"/>
  <c r="R44" i="1"/>
  <c r="Q44" i="1"/>
  <c r="N44" i="1"/>
  <c r="M44" i="1"/>
  <c r="J44" i="1"/>
  <c r="I44" i="1"/>
  <c r="F44" i="1"/>
  <c r="E44" i="1"/>
  <c r="AC43" i="1"/>
  <c r="AE43" i="1" s="1"/>
  <c r="AB43" i="1"/>
  <c r="Z43" i="1"/>
  <c r="Y43" i="1"/>
  <c r="V43" i="1"/>
  <c r="U43" i="1"/>
  <c r="R43" i="1"/>
  <c r="Q43" i="1"/>
  <c r="N43" i="1"/>
  <c r="M43" i="1"/>
  <c r="J43" i="1"/>
  <c r="I43" i="1"/>
  <c r="F43" i="1"/>
  <c r="E43" i="1"/>
  <c r="AC42" i="1"/>
  <c r="AE42" i="1" s="1"/>
  <c r="AB42" i="1"/>
  <c r="Z42" i="1"/>
  <c r="Y42" i="1"/>
  <c r="V42" i="1"/>
  <c r="U42" i="1"/>
  <c r="R42" i="1"/>
  <c r="Q42" i="1"/>
  <c r="N42" i="1"/>
  <c r="M42" i="1"/>
  <c r="J42" i="1"/>
  <c r="I42" i="1"/>
  <c r="F42" i="1"/>
  <c r="E42" i="1"/>
  <c r="AC41" i="1"/>
  <c r="AE41" i="1" s="1"/>
  <c r="AB41" i="1"/>
  <c r="Z41" i="1"/>
  <c r="Y41" i="1"/>
  <c r="V41" i="1"/>
  <c r="U41" i="1"/>
  <c r="R41" i="1"/>
  <c r="Q41" i="1"/>
  <c r="N41" i="1"/>
  <c r="M41" i="1"/>
  <c r="J41" i="1"/>
  <c r="I41" i="1"/>
  <c r="F41" i="1"/>
  <c r="E41" i="1"/>
  <c r="AC40" i="1"/>
  <c r="AE40" i="1" s="1"/>
  <c r="AB40" i="1"/>
  <c r="Z40" i="1"/>
  <c r="Y40" i="1"/>
  <c r="V40" i="1"/>
  <c r="U40" i="1"/>
  <c r="R40" i="1"/>
  <c r="Q40" i="1"/>
  <c r="N40" i="1"/>
  <c r="M40" i="1"/>
  <c r="J40" i="1"/>
  <c r="I40" i="1"/>
  <c r="F40" i="1"/>
  <c r="E40" i="1"/>
  <c r="AC39" i="1"/>
  <c r="AC45" i="1" s="1"/>
  <c r="AE45" i="1" s="1"/>
  <c r="AB39" i="1"/>
  <c r="AE39" i="1" s="1"/>
  <c r="Z39" i="1"/>
  <c r="Y39" i="1"/>
  <c r="V39" i="1"/>
  <c r="U39" i="1"/>
  <c r="R39" i="1"/>
  <c r="Q39" i="1"/>
  <c r="N39" i="1"/>
  <c r="M39" i="1"/>
  <c r="J39" i="1"/>
  <c r="I39" i="1"/>
  <c r="F39" i="1"/>
  <c r="E39" i="1"/>
  <c r="AC38" i="1"/>
  <c r="AA38" i="1"/>
  <c r="AA46" i="1" s="1"/>
  <c r="Y38" i="1"/>
  <c r="X38" i="1"/>
  <c r="Z38" i="1" s="1"/>
  <c r="W38" i="1"/>
  <c r="U38" i="1"/>
  <c r="T38" i="1"/>
  <c r="S38" i="1"/>
  <c r="S46" i="1" s="1"/>
  <c r="Q38" i="1"/>
  <c r="P38" i="1"/>
  <c r="R38" i="1" s="1"/>
  <c r="O38" i="1"/>
  <c r="M38" i="1"/>
  <c r="L38" i="1"/>
  <c r="L46" i="1" s="1"/>
  <c r="K38" i="1"/>
  <c r="N38" i="1" s="1"/>
  <c r="I38" i="1"/>
  <c r="H38" i="1"/>
  <c r="J38" i="1" s="1"/>
  <c r="G38" i="1"/>
  <c r="G46" i="1" s="1"/>
  <c r="E38" i="1"/>
  <c r="D38" i="1"/>
  <c r="C38" i="1"/>
  <c r="F38" i="1" s="1"/>
  <c r="AD37" i="1"/>
  <c r="AC37" i="1"/>
  <c r="AE37" i="1" s="1"/>
  <c r="AB37" i="1"/>
  <c r="Z37" i="1"/>
  <c r="Y37" i="1"/>
  <c r="V37" i="1"/>
  <c r="U37" i="1"/>
  <c r="R37" i="1"/>
  <c r="Q37" i="1"/>
  <c r="N37" i="1"/>
  <c r="M37" i="1"/>
  <c r="J37" i="1"/>
  <c r="I37" i="1"/>
  <c r="F37" i="1"/>
  <c r="E37" i="1"/>
  <c r="AD36" i="1"/>
  <c r="AC36" i="1"/>
  <c r="AE36" i="1" s="1"/>
  <c r="AB36" i="1"/>
  <c r="Z36" i="1"/>
  <c r="Y36" i="1"/>
  <c r="V36" i="1"/>
  <c r="U36" i="1"/>
  <c r="R36" i="1"/>
  <c r="Q36" i="1"/>
  <c r="N36" i="1"/>
  <c r="M36" i="1"/>
  <c r="J36" i="1"/>
  <c r="I36" i="1"/>
  <c r="F36" i="1"/>
  <c r="E36" i="1"/>
  <c r="AD35" i="1"/>
  <c r="AC35" i="1"/>
  <c r="AE35" i="1" s="1"/>
  <c r="AB35" i="1"/>
  <c r="Z35" i="1"/>
  <c r="Y35" i="1"/>
  <c r="V35" i="1"/>
  <c r="U35" i="1"/>
  <c r="R35" i="1"/>
  <c r="Q35" i="1"/>
  <c r="N35" i="1"/>
  <c r="M35" i="1"/>
  <c r="J35" i="1"/>
  <c r="I35" i="1"/>
  <c r="F35" i="1"/>
  <c r="E35" i="1"/>
  <c r="AD34" i="1"/>
  <c r="AC34" i="1"/>
  <c r="AE34" i="1" s="1"/>
  <c r="AB34" i="1"/>
  <c r="Z34" i="1"/>
  <c r="Y34" i="1"/>
  <c r="V34" i="1"/>
  <c r="U34" i="1"/>
  <c r="R34" i="1"/>
  <c r="Q34" i="1"/>
  <c r="N34" i="1"/>
  <c r="M34" i="1"/>
  <c r="J34" i="1"/>
  <c r="I34" i="1"/>
  <c r="F34" i="1"/>
  <c r="E34" i="1"/>
  <c r="AD33" i="1"/>
  <c r="AC33" i="1"/>
  <c r="AE33" i="1" s="1"/>
  <c r="AB33" i="1"/>
  <c r="Z33" i="1"/>
  <c r="Y33" i="1"/>
  <c r="V33" i="1"/>
  <c r="U33" i="1"/>
  <c r="R33" i="1"/>
  <c r="Q33" i="1"/>
  <c r="N33" i="1"/>
  <c r="M33" i="1"/>
  <c r="J33" i="1"/>
  <c r="I33" i="1"/>
  <c r="F33" i="1"/>
  <c r="E33" i="1"/>
  <c r="AD32" i="1"/>
  <c r="AC32" i="1"/>
  <c r="AE32" i="1" s="1"/>
  <c r="AB32" i="1"/>
  <c r="Z32" i="1"/>
  <c r="Y32" i="1"/>
  <c r="V32" i="1"/>
  <c r="U32" i="1"/>
  <c r="R32" i="1"/>
  <c r="Q32" i="1"/>
  <c r="N32" i="1"/>
  <c r="M32" i="1"/>
  <c r="J32" i="1"/>
  <c r="I32" i="1"/>
  <c r="F32" i="1"/>
  <c r="E32" i="1"/>
  <c r="AD31" i="1"/>
  <c r="AC31" i="1"/>
  <c r="AE31" i="1" s="1"/>
  <c r="AB31" i="1"/>
  <c r="Z31" i="1"/>
  <c r="Y31" i="1"/>
  <c r="V31" i="1"/>
  <c r="U31" i="1"/>
  <c r="R31" i="1"/>
  <c r="Q31" i="1"/>
  <c r="N31" i="1"/>
  <c r="M31" i="1"/>
  <c r="J31" i="1"/>
  <c r="I31" i="1"/>
  <c r="F31" i="1"/>
  <c r="E31" i="1"/>
  <c r="AD30" i="1"/>
  <c r="AC30" i="1"/>
  <c r="AE30" i="1" s="1"/>
  <c r="AB30" i="1"/>
  <c r="Z30" i="1"/>
  <c r="Y30" i="1"/>
  <c r="V30" i="1"/>
  <c r="U30" i="1"/>
  <c r="R30" i="1"/>
  <c r="Q30" i="1"/>
  <c r="N30" i="1"/>
  <c r="M30" i="1"/>
  <c r="J30" i="1"/>
  <c r="I30" i="1"/>
  <c r="F30" i="1"/>
  <c r="E30" i="1"/>
  <c r="AD29" i="1"/>
  <c r="AC29" i="1"/>
  <c r="AE29" i="1" s="1"/>
  <c r="AB29" i="1"/>
  <c r="Z29" i="1"/>
  <c r="Y29" i="1"/>
  <c r="V29" i="1"/>
  <c r="U29" i="1"/>
  <c r="R29" i="1"/>
  <c r="Q29" i="1"/>
  <c r="N29" i="1"/>
  <c r="M29" i="1"/>
  <c r="J29" i="1"/>
  <c r="I29" i="1"/>
  <c r="F29" i="1"/>
  <c r="E29" i="1"/>
  <c r="AD28" i="1"/>
  <c r="AC28" i="1"/>
  <c r="AE28" i="1" s="1"/>
  <c r="AB28" i="1"/>
  <c r="AB38" i="1" s="1"/>
  <c r="Z28" i="1"/>
  <c r="Y28" i="1"/>
  <c r="V28" i="1"/>
  <c r="U28" i="1"/>
  <c r="R28" i="1"/>
  <c r="Q28" i="1"/>
  <c r="N28" i="1"/>
  <c r="M28" i="1"/>
  <c r="J28" i="1"/>
  <c r="I28" i="1"/>
  <c r="F28" i="1"/>
  <c r="E28" i="1"/>
  <c r="X27" i="1"/>
  <c r="P27" i="1"/>
  <c r="H27" i="1"/>
  <c r="AC26" i="1"/>
  <c r="AA26" i="1"/>
  <c r="AA47" i="1" s="1"/>
  <c r="X26" i="1"/>
  <c r="W26" i="1"/>
  <c r="Z26" i="1" s="1"/>
  <c r="U26" i="1"/>
  <c r="T26" i="1"/>
  <c r="S26" i="1"/>
  <c r="V26" i="1" s="1"/>
  <c r="P26" i="1"/>
  <c r="O26" i="1"/>
  <c r="R26" i="1" s="1"/>
  <c r="M26" i="1"/>
  <c r="L26" i="1"/>
  <c r="K26" i="1"/>
  <c r="N26" i="1" s="1"/>
  <c r="H26" i="1"/>
  <c r="G26" i="1"/>
  <c r="J26" i="1" s="1"/>
  <c r="E26" i="1"/>
  <c r="C26" i="1"/>
  <c r="F26" i="1" s="1"/>
  <c r="AE25" i="1"/>
  <c r="AD25" i="1"/>
  <c r="AC25" i="1"/>
  <c r="AB25" i="1"/>
  <c r="Z25" i="1"/>
  <c r="Y25" i="1"/>
  <c r="V25" i="1"/>
  <c r="U25" i="1"/>
  <c r="R25" i="1"/>
  <c r="Q25" i="1"/>
  <c r="N25" i="1"/>
  <c r="M25" i="1"/>
  <c r="J25" i="1"/>
  <c r="I25" i="1"/>
  <c r="F25" i="1"/>
  <c r="E25" i="1"/>
  <c r="AE24" i="1"/>
  <c r="AD24" i="1"/>
  <c r="AC24" i="1"/>
  <c r="AB24" i="1"/>
  <c r="Z24" i="1"/>
  <c r="Y24" i="1"/>
  <c r="V24" i="1"/>
  <c r="U24" i="1"/>
  <c r="R24" i="1"/>
  <c r="Q24" i="1"/>
  <c r="N24" i="1"/>
  <c r="M24" i="1"/>
  <c r="J24" i="1"/>
  <c r="I24" i="1"/>
  <c r="F24" i="1"/>
  <c r="E24" i="1"/>
  <c r="AE23" i="1"/>
  <c r="AD23" i="1"/>
  <c r="AC23" i="1"/>
  <c r="AB23" i="1"/>
  <c r="Z23" i="1"/>
  <c r="Y23" i="1"/>
  <c r="V23" i="1"/>
  <c r="U23" i="1"/>
  <c r="R23" i="1"/>
  <c r="Q23" i="1"/>
  <c r="N23" i="1"/>
  <c r="M23" i="1"/>
  <c r="J23" i="1"/>
  <c r="I23" i="1"/>
  <c r="F23" i="1"/>
  <c r="E23" i="1"/>
  <c r="AE22" i="1"/>
  <c r="AD22" i="1"/>
  <c r="AC22" i="1"/>
  <c r="AB22" i="1"/>
  <c r="Z22" i="1"/>
  <c r="Y22" i="1"/>
  <c r="V22" i="1"/>
  <c r="U22" i="1"/>
  <c r="R22" i="1"/>
  <c r="Q22" i="1"/>
  <c r="N22" i="1"/>
  <c r="M22" i="1"/>
  <c r="J22" i="1"/>
  <c r="I22" i="1"/>
  <c r="F22" i="1"/>
  <c r="E22" i="1"/>
  <c r="AE21" i="1"/>
  <c r="AD21" i="1"/>
  <c r="AC21" i="1"/>
  <c r="AB21" i="1"/>
  <c r="Z21" i="1"/>
  <c r="Y21" i="1"/>
  <c r="V21" i="1"/>
  <c r="U21" i="1"/>
  <c r="R21" i="1"/>
  <c r="Q21" i="1"/>
  <c r="N21" i="1"/>
  <c r="M21" i="1"/>
  <c r="J21" i="1"/>
  <c r="I21" i="1"/>
  <c r="F21" i="1"/>
  <c r="E21" i="1"/>
  <c r="AE20" i="1"/>
  <c r="AD20" i="1"/>
  <c r="AC20" i="1"/>
  <c r="AB20" i="1"/>
  <c r="Z20" i="1"/>
  <c r="Y20" i="1"/>
  <c r="V20" i="1"/>
  <c r="U20" i="1"/>
  <c r="R20" i="1"/>
  <c r="Q20" i="1"/>
  <c r="N20" i="1"/>
  <c r="M20" i="1"/>
  <c r="J20" i="1"/>
  <c r="I20" i="1"/>
  <c r="F20" i="1"/>
  <c r="E20" i="1"/>
  <c r="AE19" i="1"/>
  <c r="AD19" i="1"/>
  <c r="AC19" i="1"/>
  <c r="AB19" i="1"/>
  <c r="AB26" i="1" s="1"/>
  <c r="Z19" i="1"/>
  <c r="Y19" i="1"/>
  <c r="V19" i="1"/>
  <c r="U19" i="1"/>
  <c r="R19" i="1"/>
  <c r="Q19" i="1"/>
  <c r="N19" i="1"/>
  <c r="M19" i="1"/>
  <c r="J19" i="1"/>
  <c r="I19" i="1"/>
  <c r="F19" i="1"/>
  <c r="E19" i="1"/>
  <c r="AA18" i="1"/>
  <c r="AA27" i="1" s="1"/>
  <c r="Y18" i="1"/>
  <c r="X18" i="1"/>
  <c r="W18" i="1"/>
  <c r="W27" i="1" s="1"/>
  <c r="T18" i="1"/>
  <c r="T27" i="1" s="1"/>
  <c r="S18" i="1"/>
  <c r="V18" i="1" s="1"/>
  <c r="Q18" i="1"/>
  <c r="P18" i="1"/>
  <c r="O18" i="1"/>
  <c r="O27" i="1" s="1"/>
  <c r="L18" i="1"/>
  <c r="L27" i="1" s="1"/>
  <c r="K18" i="1"/>
  <c r="N18" i="1" s="1"/>
  <c r="I18" i="1"/>
  <c r="H18" i="1"/>
  <c r="G18" i="1"/>
  <c r="G27" i="1" s="1"/>
  <c r="D18" i="1"/>
  <c r="D27" i="1" s="1"/>
  <c r="C18" i="1"/>
  <c r="F18" i="1" s="1"/>
  <c r="AD17" i="1"/>
  <c r="AC17" i="1"/>
  <c r="AB17" i="1"/>
  <c r="AE17" i="1" s="1"/>
  <c r="Z17" i="1"/>
  <c r="Y17" i="1"/>
  <c r="V17" i="1"/>
  <c r="U17" i="1"/>
  <c r="R17" i="1"/>
  <c r="Q17" i="1"/>
  <c r="N17" i="1"/>
  <c r="M17" i="1"/>
  <c r="J17" i="1"/>
  <c r="I17" i="1"/>
  <c r="F17" i="1"/>
  <c r="E17" i="1"/>
  <c r="AD16" i="1"/>
  <c r="AC16" i="1"/>
  <c r="AB16" i="1"/>
  <c r="AE16" i="1" s="1"/>
  <c r="Z16" i="1"/>
  <c r="Y16" i="1"/>
  <c r="V16" i="1"/>
  <c r="U16" i="1"/>
  <c r="R16" i="1"/>
  <c r="Q16" i="1"/>
  <c r="N16" i="1"/>
  <c r="M16" i="1"/>
  <c r="J16" i="1"/>
  <c r="I16" i="1"/>
  <c r="F16" i="1"/>
  <c r="E16" i="1"/>
  <c r="AD15" i="1"/>
  <c r="AC15" i="1"/>
  <c r="AB15" i="1"/>
  <c r="AE15" i="1" s="1"/>
  <c r="Z15" i="1"/>
  <c r="Y15" i="1"/>
  <c r="V15" i="1"/>
  <c r="U15" i="1"/>
  <c r="R15" i="1"/>
  <c r="Q15" i="1"/>
  <c r="N15" i="1"/>
  <c r="M15" i="1"/>
  <c r="J15" i="1"/>
  <c r="I15" i="1"/>
  <c r="F15" i="1"/>
  <c r="E15" i="1"/>
  <c r="AD14" i="1"/>
  <c r="AC14" i="1"/>
  <c r="AB14" i="1"/>
  <c r="AE14" i="1" s="1"/>
  <c r="Z14" i="1"/>
  <c r="Y14" i="1"/>
  <c r="V14" i="1"/>
  <c r="U14" i="1"/>
  <c r="R14" i="1"/>
  <c r="Q14" i="1"/>
  <c r="N14" i="1"/>
  <c r="M14" i="1"/>
  <c r="J14" i="1"/>
  <c r="I14" i="1"/>
  <c r="F14" i="1"/>
  <c r="E14" i="1"/>
  <c r="AD13" i="1"/>
  <c r="AC13" i="1"/>
  <c r="AB13" i="1"/>
  <c r="AE13" i="1" s="1"/>
  <c r="Z13" i="1"/>
  <c r="Y13" i="1"/>
  <c r="V13" i="1"/>
  <c r="U13" i="1"/>
  <c r="R13" i="1"/>
  <c r="Q13" i="1"/>
  <c r="N13" i="1"/>
  <c r="M13" i="1"/>
  <c r="J13" i="1"/>
  <c r="I13" i="1"/>
  <c r="F13" i="1"/>
  <c r="E13" i="1"/>
  <c r="AD12" i="1"/>
  <c r="AC12" i="1"/>
  <c r="AB12" i="1"/>
  <c r="AE12" i="1" s="1"/>
  <c r="Z12" i="1"/>
  <c r="Y12" i="1"/>
  <c r="V12" i="1"/>
  <c r="U12" i="1"/>
  <c r="R12" i="1"/>
  <c r="Q12" i="1"/>
  <c r="N12" i="1"/>
  <c r="M12" i="1"/>
  <c r="J12" i="1"/>
  <c r="I12" i="1"/>
  <c r="F12" i="1"/>
  <c r="E12" i="1"/>
  <c r="AD11" i="1"/>
  <c r="AC11" i="1"/>
  <c r="AB11" i="1"/>
  <c r="AE11" i="1" s="1"/>
  <c r="Z11" i="1"/>
  <c r="Y11" i="1"/>
  <c r="V11" i="1"/>
  <c r="U11" i="1"/>
  <c r="R11" i="1"/>
  <c r="Q11" i="1"/>
  <c r="N11" i="1"/>
  <c r="M11" i="1"/>
  <c r="J11" i="1"/>
  <c r="I11" i="1"/>
  <c r="F11" i="1"/>
  <c r="E11" i="1"/>
  <c r="AD10" i="1"/>
  <c r="AC10" i="1"/>
  <c r="AB10" i="1"/>
  <c r="AE10" i="1" s="1"/>
  <c r="Z10" i="1"/>
  <c r="Y10" i="1"/>
  <c r="V10" i="1"/>
  <c r="U10" i="1"/>
  <c r="R10" i="1"/>
  <c r="Q10" i="1"/>
  <c r="N10" i="1"/>
  <c r="M10" i="1"/>
  <c r="J10" i="1"/>
  <c r="I10" i="1"/>
  <c r="F10" i="1"/>
  <c r="E10" i="1"/>
  <c r="AD9" i="1"/>
  <c r="AC9" i="1"/>
  <c r="AB9" i="1"/>
  <c r="AE9" i="1" s="1"/>
  <c r="Z9" i="1"/>
  <c r="Y9" i="1"/>
  <c r="V9" i="1"/>
  <c r="U9" i="1"/>
  <c r="R9" i="1"/>
  <c r="Q9" i="1"/>
  <c r="N9" i="1"/>
  <c r="M9" i="1"/>
  <c r="J9" i="1"/>
  <c r="I9" i="1"/>
  <c r="F9" i="1"/>
  <c r="E9" i="1"/>
  <c r="AD8" i="1"/>
  <c r="AC8" i="1"/>
  <c r="AB8" i="1"/>
  <c r="AE8" i="1" s="1"/>
  <c r="Z8" i="1"/>
  <c r="Y8" i="1"/>
  <c r="V8" i="1"/>
  <c r="U8" i="1"/>
  <c r="R8" i="1"/>
  <c r="Q8" i="1"/>
  <c r="N8" i="1"/>
  <c r="M8" i="1"/>
  <c r="J8" i="1"/>
  <c r="I8" i="1"/>
  <c r="F8" i="1"/>
  <c r="E8" i="1"/>
  <c r="AD7" i="1"/>
  <c r="AC7" i="1"/>
  <c r="AC18" i="1" s="1"/>
  <c r="AC27" i="1" s="1"/>
  <c r="AB7" i="1"/>
  <c r="AB18" i="1" s="1"/>
  <c r="Z7" i="1"/>
  <c r="Y7" i="1"/>
  <c r="V7" i="1"/>
  <c r="U7" i="1"/>
  <c r="R7" i="1"/>
  <c r="Q7" i="1"/>
  <c r="N7" i="1"/>
  <c r="M7" i="1"/>
  <c r="J7" i="1"/>
  <c r="I7" i="1"/>
  <c r="F7" i="1"/>
  <c r="E7" i="1"/>
  <c r="AE18" i="1" l="1"/>
  <c r="AD18" i="1"/>
  <c r="AB27" i="1"/>
  <c r="O52" i="1"/>
  <c r="O47" i="1"/>
  <c r="R27" i="1"/>
  <c r="Q27" i="1"/>
  <c r="AB46" i="1"/>
  <c r="AE38" i="1"/>
  <c r="AD38" i="1"/>
  <c r="R80" i="1"/>
  <c r="O105" i="1"/>
  <c r="Q80" i="1"/>
  <c r="AD45" i="1"/>
  <c r="AE79" i="1"/>
  <c r="AD79" i="1"/>
  <c r="G52" i="1"/>
  <c r="G47" i="1"/>
  <c r="J27" i="1"/>
  <c r="I27" i="1"/>
  <c r="G105" i="1"/>
  <c r="J80" i="1"/>
  <c r="I80" i="1"/>
  <c r="AD80" i="1"/>
  <c r="AE80" i="1"/>
  <c r="AB105" i="1"/>
  <c r="W47" i="1"/>
  <c r="W52" i="1"/>
  <c r="Z27" i="1"/>
  <c r="Y27" i="1"/>
  <c r="AE26" i="1"/>
  <c r="AD26" i="1"/>
  <c r="G53" i="1"/>
  <c r="V80" i="1"/>
  <c r="S105" i="1"/>
  <c r="U80" i="1"/>
  <c r="AD132" i="1"/>
  <c r="AE132" i="1"/>
  <c r="S53" i="1"/>
  <c r="U46" i="1"/>
  <c r="V46" i="1"/>
  <c r="G158" i="1"/>
  <c r="I133" i="1"/>
  <c r="G153" i="1"/>
  <c r="J133" i="1"/>
  <c r="W105" i="1"/>
  <c r="Z80" i="1"/>
  <c r="Y80" i="1"/>
  <c r="K46" i="1"/>
  <c r="C105" i="1"/>
  <c r="S99" i="1"/>
  <c r="U91" i="1"/>
  <c r="AB124" i="1"/>
  <c r="AE128" i="1"/>
  <c r="AD128" i="1"/>
  <c r="K152" i="1"/>
  <c r="M144" i="1"/>
  <c r="AE168" i="1"/>
  <c r="AD168" i="1"/>
  <c r="AE172" i="1"/>
  <c r="AD172" i="1"/>
  <c r="AC185" i="1"/>
  <c r="J185" i="1"/>
  <c r="I185" i="1"/>
  <c r="G186" i="1"/>
  <c r="W205" i="1"/>
  <c r="Z204" i="1"/>
  <c r="AE7" i="1"/>
  <c r="J18" i="1"/>
  <c r="R18" i="1"/>
  <c r="Z18" i="1"/>
  <c r="Z45" i="1"/>
  <c r="C46" i="1"/>
  <c r="U71" i="1"/>
  <c r="D80" i="1"/>
  <c r="F80" i="1" s="1"/>
  <c r="AD82" i="1"/>
  <c r="AD90" i="1"/>
  <c r="AE113" i="1"/>
  <c r="T133" i="1"/>
  <c r="V124" i="1"/>
  <c r="AC124" i="1"/>
  <c r="AC133" i="1" s="1"/>
  <c r="N132" i="1"/>
  <c r="Z132" i="1"/>
  <c r="Y132" i="1"/>
  <c r="S133" i="1"/>
  <c r="C152" i="1"/>
  <c r="E144" i="1"/>
  <c r="AE151" i="1"/>
  <c r="R152" i="1"/>
  <c r="F177" i="1"/>
  <c r="AB177" i="1"/>
  <c r="AE181" i="1"/>
  <c r="AD181" i="1"/>
  <c r="V197" i="1"/>
  <c r="AD197" i="1"/>
  <c r="L205" i="1"/>
  <c r="N205" i="1" s="1"/>
  <c r="AC46" i="1"/>
  <c r="N71" i="1"/>
  <c r="V71" i="1"/>
  <c r="AD71" i="1"/>
  <c r="AD72" i="1"/>
  <c r="AD73" i="1"/>
  <c r="AD74" i="1"/>
  <c r="AD75" i="1"/>
  <c r="AD76" i="1"/>
  <c r="E80" i="1"/>
  <c r="AD81" i="1"/>
  <c r="AB91" i="1"/>
  <c r="AE83" i="1"/>
  <c r="K99" i="1"/>
  <c r="M91" i="1"/>
  <c r="V91" i="1"/>
  <c r="L133" i="1"/>
  <c r="N124" i="1"/>
  <c r="AE127" i="1"/>
  <c r="AD127" i="1"/>
  <c r="AE131" i="1"/>
  <c r="AD131" i="1"/>
  <c r="AE171" i="1"/>
  <c r="AD171" i="1"/>
  <c r="AC177" i="1"/>
  <c r="Z185" i="1"/>
  <c r="Y185" i="1"/>
  <c r="W186" i="1"/>
  <c r="N186" i="1"/>
  <c r="M186" i="1"/>
  <c r="C27" i="1"/>
  <c r="K27" i="1"/>
  <c r="S27" i="1"/>
  <c r="V38" i="1"/>
  <c r="AD39" i="1"/>
  <c r="AD40" i="1"/>
  <c r="AD41" i="1"/>
  <c r="AD42" i="1"/>
  <c r="AD43" i="1"/>
  <c r="AD44" i="1"/>
  <c r="I45" i="1"/>
  <c r="Q45" i="1"/>
  <c r="X46" i="1"/>
  <c r="Y46" i="1" s="1"/>
  <c r="AE71" i="1"/>
  <c r="AE72" i="1"/>
  <c r="AC91" i="1"/>
  <c r="AC99" i="1" s="1"/>
  <c r="W99" i="1"/>
  <c r="W100" i="1" s="1"/>
  <c r="Y91" i="1"/>
  <c r="D133" i="1"/>
  <c r="F133" i="1" s="1"/>
  <c r="F124" i="1"/>
  <c r="M124" i="1"/>
  <c r="Y133" i="1"/>
  <c r="W153" i="1"/>
  <c r="E177" i="1"/>
  <c r="AE180" i="1"/>
  <c r="AD180" i="1"/>
  <c r="AE184" i="1"/>
  <c r="AD184" i="1"/>
  <c r="F197" i="1"/>
  <c r="O205" i="1"/>
  <c r="R204" i="1"/>
  <c r="V205" i="1"/>
  <c r="E18" i="1"/>
  <c r="M18" i="1"/>
  <c r="U18" i="1"/>
  <c r="I26" i="1"/>
  <c r="Q26" i="1"/>
  <c r="Y26" i="1"/>
  <c r="P46" i="1"/>
  <c r="AE81" i="1"/>
  <c r="AD87" i="1"/>
  <c r="AE89" i="1"/>
  <c r="C99" i="1"/>
  <c r="C100" i="1" s="1"/>
  <c r="E91" i="1"/>
  <c r="N91" i="1"/>
  <c r="E124" i="1"/>
  <c r="AE126" i="1"/>
  <c r="AD126" i="1"/>
  <c r="AE130" i="1"/>
  <c r="AD130" i="1"/>
  <c r="F132" i="1"/>
  <c r="R132" i="1"/>
  <c r="Q132" i="1"/>
  <c r="K133" i="1"/>
  <c r="O159" i="1"/>
  <c r="AE166" i="1"/>
  <c r="AE170" i="1"/>
  <c r="AD170" i="1"/>
  <c r="AD202" i="1"/>
  <c r="T205" i="1"/>
  <c r="H46" i="1"/>
  <c r="J46" i="1" s="1"/>
  <c r="AD86" i="1"/>
  <c r="O99" i="1"/>
  <c r="Q91" i="1"/>
  <c r="AE98" i="1"/>
  <c r="AE144" i="1"/>
  <c r="G159" i="1"/>
  <c r="J152" i="1"/>
  <c r="Z152" i="1"/>
  <c r="W159" i="1"/>
  <c r="AB159" i="1"/>
  <c r="AE179" i="1"/>
  <c r="AD179" i="1"/>
  <c r="AE183" i="1"/>
  <c r="AD183" i="1"/>
  <c r="R185" i="1"/>
  <c r="Q185" i="1"/>
  <c r="O186" i="1"/>
  <c r="S186" i="1"/>
  <c r="AD201" i="1"/>
  <c r="Q204" i="1"/>
  <c r="K211" i="1"/>
  <c r="N80" i="1"/>
  <c r="K100" i="1"/>
  <c r="AE125" i="1"/>
  <c r="AD125" i="1"/>
  <c r="AE129" i="1"/>
  <c r="AD129" i="1"/>
  <c r="O153" i="1"/>
  <c r="Q133" i="1"/>
  <c r="O158" i="1"/>
  <c r="AC152" i="1"/>
  <c r="AD152" i="1" s="1"/>
  <c r="AE169" i="1"/>
  <c r="AD169" i="1"/>
  <c r="AE173" i="1"/>
  <c r="AD173" i="1"/>
  <c r="AB204" i="1"/>
  <c r="AE198" i="1"/>
  <c r="G205" i="1"/>
  <c r="J204" i="1"/>
  <c r="D205" i="1"/>
  <c r="F205" i="1" s="1"/>
  <c r="AD84" i="1"/>
  <c r="AE86" i="1"/>
  <c r="G99" i="1"/>
  <c r="I91" i="1"/>
  <c r="R91" i="1"/>
  <c r="R124" i="1"/>
  <c r="J132" i="1"/>
  <c r="I132" i="1"/>
  <c r="C158" i="1"/>
  <c r="E133" i="1"/>
  <c r="S152" i="1"/>
  <c r="U144" i="1"/>
  <c r="AD144" i="1"/>
  <c r="I152" i="1"/>
  <c r="Y152" i="1"/>
  <c r="X186" i="1"/>
  <c r="AE178" i="1"/>
  <c r="AD178" i="1"/>
  <c r="AB185" i="1"/>
  <c r="AE182" i="1"/>
  <c r="AD182" i="1"/>
  <c r="F186" i="1"/>
  <c r="E186" i="1"/>
  <c r="C206" i="1"/>
  <c r="AD199" i="1"/>
  <c r="AB205" i="1"/>
  <c r="AB212" i="1" s="1"/>
  <c r="AD174" i="1"/>
  <c r="AD175" i="1"/>
  <c r="AD176" i="1"/>
  <c r="I177" i="1"/>
  <c r="Q177" i="1"/>
  <c r="Y177" i="1"/>
  <c r="E204" i="1"/>
  <c r="M204" i="1"/>
  <c r="U204" i="1"/>
  <c r="J177" i="1"/>
  <c r="R177" i="1"/>
  <c r="Z177" i="1"/>
  <c r="C212" i="1"/>
  <c r="K212" i="1"/>
  <c r="M205" i="1"/>
  <c r="U205" i="1"/>
  <c r="S212" i="1"/>
  <c r="S158" i="1" l="1"/>
  <c r="U133" i="1"/>
  <c r="S153" i="1"/>
  <c r="V133" i="1"/>
  <c r="AE46" i="1"/>
  <c r="AD46" i="1"/>
  <c r="E205" i="1"/>
  <c r="AE177" i="1"/>
  <c r="AB186" i="1"/>
  <c r="AD177" i="1"/>
  <c r="V186" i="1"/>
  <c r="S211" i="1"/>
  <c r="U186" i="1"/>
  <c r="S206" i="1"/>
  <c r="R99" i="1"/>
  <c r="Q99" i="1"/>
  <c r="O106" i="1"/>
  <c r="S52" i="1"/>
  <c r="S47" i="1"/>
  <c r="V27" i="1"/>
  <c r="U27" i="1"/>
  <c r="AE124" i="1"/>
  <c r="AB133" i="1"/>
  <c r="AD124" i="1"/>
  <c r="I46" i="1"/>
  <c r="O211" i="1"/>
  <c r="O206" i="1"/>
  <c r="R186" i="1"/>
  <c r="Q186" i="1"/>
  <c r="N27" i="1"/>
  <c r="K52" i="1"/>
  <c r="M27" i="1"/>
  <c r="K47" i="1"/>
  <c r="AC186" i="1"/>
  <c r="AE152" i="1"/>
  <c r="F99" i="1"/>
  <c r="E99" i="1"/>
  <c r="C106" i="1"/>
  <c r="AD91" i="1"/>
  <c r="AB99" i="1"/>
  <c r="AE91" i="1"/>
  <c r="I205" i="1"/>
  <c r="J205" i="1"/>
  <c r="G212" i="1"/>
  <c r="Z46" i="1"/>
  <c r="K153" i="1"/>
  <c r="M133" i="1"/>
  <c r="N133" i="1"/>
  <c r="K158" i="1"/>
  <c r="Z99" i="1"/>
  <c r="W106" i="1"/>
  <c r="Y99" i="1"/>
  <c r="F27" i="1"/>
  <c r="E27" i="1"/>
  <c r="C52" i="1"/>
  <c r="C47" i="1"/>
  <c r="E46" i="1"/>
  <c r="F46" i="1"/>
  <c r="C53" i="1"/>
  <c r="W212" i="1"/>
  <c r="Y205" i="1"/>
  <c r="Z205" i="1"/>
  <c r="U99" i="1"/>
  <c r="S106" i="1"/>
  <c r="V99" i="1"/>
  <c r="O100" i="1"/>
  <c r="W211" i="1"/>
  <c r="W206" i="1"/>
  <c r="Z186" i="1"/>
  <c r="Y186" i="1"/>
  <c r="R46" i="1"/>
  <c r="Q46" i="1"/>
  <c r="G211" i="1"/>
  <c r="G206" i="1"/>
  <c r="J186" i="1"/>
  <c r="I186" i="1"/>
  <c r="S100" i="1"/>
  <c r="AB53" i="1"/>
  <c r="AE27" i="1"/>
  <c r="AD27" i="1"/>
  <c r="AB52" i="1"/>
  <c r="AB47" i="1"/>
  <c r="AD204" i="1"/>
  <c r="AE204" i="1"/>
  <c r="K106" i="1"/>
  <c r="N99" i="1"/>
  <c r="M99" i="1"/>
  <c r="AE205" i="1"/>
  <c r="AD205" i="1"/>
  <c r="AE185" i="1"/>
  <c r="AD185" i="1"/>
  <c r="V152" i="1"/>
  <c r="S159" i="1"/>
  <c r="U152" i="1"/>
  <c r="G106" i="1"/>
  <c r="J99" i="1"/>
  <c r="I99" i="1"/>
  <c r="Q205" i="1"/>
  <c r="O212" i="1"/>
  <c r="R205" i="1"/>
  <c r="F152" i="1"/>
  <c r="E152" i="1"/>
  <c r="C159" i="1"/>
  <c r="C153" i="1"/>
  <c r="K159" i="1"/>
  <c r="N152" i="1"/>
  <c r="M152" i="1"/>
  <c r="M46" i="1"/>
  <c r="K53" i="1"/>
  <c r="N46" i="1"/>
  <c r="G100" i="1"/>
  <c r="AE99" i="1" l="1"/>
  <c r="AD99" i="1"/>
  <c r="AB100" i="1"/>
  <c r="AB106" i="1"/>
  <c r="AD133" i="1"/>
  <c r="AB153" i="1"/>
  <c r="AB158" i="1"/>
  <c r="AE133" i="1"/>
  <c r="AB206" i="1"/>
  <c r="AD186" i="1"/>
  <c r="AE186" i="1"/>
  <c r="AB211" i="1"/>
</calcChain>
</file>

<file path=xl/sharedStrings.xml><?xml version="1.0" encoding="utf-8"?>
<sst xmlns="http://schemas.openxmlformats.org/spreadsheetml/2006/main" count="316" uniqueCount="59">
  <si>
    <t>OUTPUT SEWING, INPUT ASB VS TARGET PRODUKSI</t>
  </si>
  <si>
    <t>Line</t>
  </si>
  <si>
    <t>Week 08/03 - 08/08</t>
  </si>
  <si>
    <t>Accumation 8/03 - 8/08</t>
  </si>
  <si>
    <t>Output</t>
  </si>
  <si>
    <t>Target</t>
  </si>
  <si>
    <t>Selisih Target &amp; Actual Output</t>
  </si>
  <si>
    <t>%</t>
  </si>
  <si>
    <t>Total Output</t>
  </si>
  <si>
    <t>Total Target</t>
  </si>
  <si>
    <t>OUTPUT SEWING</t>
  </si>
  <si>
    <t>S01</t>
  </si>
  <si>
    <t>S02</t>
  </si>
  <si>
    <t>S03</t>
  </si>
  <si>
    <t>S05</t>
  </si>
  <si>
    <t>S06</t>
  </si>
  <si>
    <t>S07</t>
  </si>
  <si>
    <t>S08</t>
  </si>
  <si>
    <t>S09</t>
  </si>
  <si>
    <t>S10</t>
  </si>
  <si>
    <t>S11</t>
  </si>
  <si>
    <t>T02</t>
  </si>
  <si>
    <t xml:space="preserve"> Sub Total</t>
  </si>
  <si>
    <t>S12</t>
  </si>
  <si>
    <t>S13</t>
  </si>
  <si>
    <t>S15</t>
  </si>
  <si>
    <t>S16</t>
  </si>
  <si>
    <t>S17</t>
  </si>
  <si>
    <t>S18</t>
  </si>
  <si>
    <t>T03</t>
  </si>
  <si>
    <t>Grand Total Sewing</t>
  </si>
  <si>
    <t>INPUT ASSEMBLING</t>
  </si>
  <si>
    <t>A01</t>
  </si>
  <si>
    <t>A02</t>
  </si>
  <si>
    <t>A03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</si>
  <si>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</si>
  <si>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</si>
  <si>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</si>
  <si>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</si>
  <si>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</si>
  <si>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</si>
  <si>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</si>
  <si>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</si>
  <si>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</si>
  <si>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A15</t>
  </si>
  <si>
    <t>A16</t>
  </si>
  <si>
    <t>A17</t>
  </si>
  <si>
    <t>A18</t>
  </si>
  <si>
    <t>Grand Total Assembling</t>
  </si>
  <si>
    <t>Selisih Output Sewing dan ASB</t>
  </si>
  <si>
    <t>jit</t>
  </si>
  <si>
    <t>sew</t>
  </si>
  <si>
    <t>ass</t>
  </si>
  <si>
    <t>Week 08/10 - 08/15</t>
  </si>
  <si>
    <t>Accumation 8/10 - 8/14</t>
  </si>
  <si>
    <t>Week 08/18 - 08/22</t>
  </si>
  <si>
    <t>Accumation 8/18 - 8/22</t>
  </si>
  <si>
    <t>Week 08/24 - 08/29</t>
  </si>
  <si>
    <t>Accumation 8/24 - 8/29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</si>
</sst>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164" fontId="4" fillId="2" borderId="2" xfId="0" quotePrefix="1" applyNumberFormat="1" applyFont="1" applyFill="1" applyBorder="1" applyAlignment="1">
      <alignment horizontal="center" vertical="center" wrapText="1"/>
    </xf>
    <xf numFmtId="164" fontId="4" fillId="2" borderId="3" xfId="0" quotePrefix="1" applyNumberFormat="1" applyFont="1" applyFill="1" applyBorder="1" applyAlignment="1">
      <alignment horizontal="center" vertical="center" wrapText="1"/>
    </xf>
    <xf numFmtId="164" fontId="4" fillId="2" borderId="4" xfId="0" quotePrefix="1" applyNumberFormat="1" applyFont="1" applyFill="1" applyBorder="1" applyAlignment="1">
      <alignment horizontal="center" vertical="center" wrapText="1"/>
    </xf>
    <xf numFmtId="164" fontId="4" fillId="2" borderId="5" xfId="0" quotePrefix="1" applyNumberFormat="1" applyFont="1" applyFill="1" applyBorder="1" applyAlignment="1">
      <alignment horizontal="center" vertical="center" wrapText="1"/>
    </xf>
    <xf numFmtId="16" fontId="4" fillId="2" borderId="2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9" fontId="5" fillId="0" borderId="2" xfId="1" applyFont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9" fontId="4" fillId="5" borderId="2" xfId="1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9" fontId="4" fillId="4" borderId="2" xfId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3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F4EE2-A87D-4680-800E-DD283D59D545}">
  <dimension ref="A1:AE212"/>
  <sheetViews>
    <sheetView tabSelected="1" topLeftCell="A54" zoomScale="85" zoomScaleNormal="85" workbookViewId="0">
      <selection activeCell="AG177" sqref="AG177"/>
    </sheetView>
  </sheetViews>
  <sheetFormatPr defaultRowHeight="15" x14ac:dyDescent="0.25"/>
  <cols>
    <col min="2" max="6" width="9.140625" customWidth="1"/>
    <col min="7" max="27" width="9.140625" hidden="1" customWidth="1"/>
    <col min="28" max="28" width="9.140625" customWidth="1"/>
    <col min="263" max="283" width="0" hidden="1" customWidth="1"/>
    <col min="519" max="539" width="0" hidden="1" customWidth="1"/>
    <col min="775" max="795" width="0" hidden="1" customWidth="1"/>
    <col min="1031" max="1051" width="0" hidden="1" customWidth="1"/>
    <col min="1287" max="1307" width="0" hidden="1" customWidth="1"/>
    <col min="1543" max="1563" width="0" hidden="1" customWidth="1"/>
    <col min="1799" max="1819" width="0" hidden="1" customWidth="1"/>
    <col min="2055" max="2075" width="0" hidden="1" customWidth="1"/>
    <col min="2311" max="2331" width="0" hidden="1" customWidth="1"/>
    <col min="2567" max="2587" width="0" hidden="1" customWidth="1"/>
    <col min="2823" max="2843" width="0" hidden="1" customWidth="1"/>
    <col min="3079" max="3099" width="0" hidden="1" customWidth="1"/>
    <col min="3335" max="3355" width="0" hidden="1" customWidth="1"/>
    <col min="3591" max="3611" width="0" hidden="1" customWidth="1"/>
    <col min="3847" max="3867" width="0" hidden="1" customWidth="1"/>
    <col min="4103" max="4123" width="0" hidden="1" customWidth="1"/>
    <col min="4359" max="4379" width="0" hidden="1" customWidth="1"/>
    <col min="4615" max="4635" width="0" hidden="1" customWidth="1"/>
    <col min="4871" max="4891" width="0" hidden="1" customWidth="1"/>
    <col min="5127" max="5147" width="0" hidden="1" customWidth="1"/>
    <col min="5383" max="5403" width="0" hidden="1" customWidth="1"/>
    <col min="5639" max="5659" width="0" hidden="1" customWidth="1"/>
    <col min="5895" max="5915" width="0" hidden="1" customWidth="1"/>
    <col min="6151" max="6171" width="0" hidden="1" customWidth="1"/>
    <col min="6407" max="6427" width="0" hidden="1" customWidth="1"/>
    <col min="6663" max="6683" width="0" hidden="1" customWidth="1"/>
    <col min="6919" max="6939" width="0" hidden="1" customWidth="1"/>
    <col min="7175" max="7195" width="0" hidden="1" customWidth="1"/>
    <col min="7431" max="7451" width="0" hidden="1" customWidth="1"/>
    <col min="7687" max="7707" width="0" hidden="1" customWidth="1"/>
    <col min="7943" max="7963" width="0" hidden="1" customWidth="1"/>
    <col min="8199" max="8219" width="0" hidden="1" customWidth="1"/>
    <col min="8455" max="8475" width="0" hidden="1" customWidth="1"/>
    <col min="8711" max="8731" width="0" hidden="1" customWidth="1"/>
    <col min="8967" max="8987" width="0" hidden="1" customWidth="1"/>
    <col min="9223" max="9243" width="0" hidden="1" customWidth="1"/>
    <col min="9479" max="9499" width="0" hidden="1" customWidth="1"/>
    <col min="9735" max="9755" width="0" hidden="1" customWidth="1"/>
    <col min="9991" max="10011" width="0" hidden="1" customWidth="1"/>
    <col min="10247" max="10267" width="0" hidden="1" customWidth="1"/>
    <col min="10503" max="10523" width="0" hidden="1" customWidth="1"/>
    <col min="10759" max="10779" width="0" hidden="1" customWidth="1"/>
    <col min="11015" max="11035" width="0" hidden="1" customWidth="1"/>
    <col min="11271" max="11291" width="0" hidden="1" customWidth="1"/>
    <col min="11527" max="11547" width="0" hidden="1" customWidth="1"/>
    <col min="11783" max="11803" width="0" hidden="1" customWidth="1"/>
    <col min="12039" max="12059" width="0" hidden="1" customWidth="1"/>
    <col min="12295" max="12315" width="0" hidden="1" customWidth="1"/>
    <col min="12551" max="12571" width="0" hidden="1" customWidth="1"/>
    <col min="12807" max="12827" width="0" hidden="1" customWidth="1"/>
    <col min="13063" max="13083" width="0" hidden="1" customWidth="1"/>
    <col min="13319" max="13339" width="0" hidden="1" customWidth="1"/>
    <col min="13575" max="13595" width="0" hidden="1" customWidth="1"/>
    <col min="13831" max="13851" width="0" hidden="1" customWidth="1"/>
    <col min="14087" max="14107" width="0" hidden="1" customWidth="1"/>
    <col min="14343" max="14363" width="0" hidden="1" customWidth="1"/>
    <col min="14599" max="14619" width="0" hidden="1" customWidth="1"/>
    <col min="14855" max="14875" width="0" hidden="1" customWidth="1"/>
    <col min="15111" max="15131" width="0" hidden="1" customWidth="1"/>
    <col min="15367" max="15387" width="0" hidden="1" customWidth="1"/>
    <col min="15623" max="15643" width="0" hidden="1" customWidth="1"/>
    <col min="15879" max="15899" width="0" hidden="1" customWidth="1"/>
    <col min="16135" max="16155" width="0" hidden="1" customWidth="1"/>
  </cols>
  <sheetData>
    <row r="1" spans="1:31" ht="23.25" hidden="1" customHeight="1" x14ac:dyDescent="0.25"/>
    <row r="2" spans="1:31" ht="21" hidden="1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21" hidden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ht="30" hidden="1" customHeight="1" x14ac:dyDescent="0.25">
      <c r="A4" s="3"/>
      <c r="B4" s="3" t="s">
        <v>1</v>
      </c>
      <c r="C4" s="3" t="s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1:31" ht="30" hidden="1" customHeight="1" x14ac:dyDescent="0.25">
      <c r="A5" s="3"/>
      <c r="B5" s="3"/>
      <c r="C5" s="4">
        <v>46237</v>
      </c>
      <c r="D5" s="4"/>
      <c r="E5" s="4"/>
      <c r="F5" s="4"/>
      <c r="G5" s="4">
        <v>46238</v>
      </c>
      <c r="H5" s="4"/>
      <c r="I5" s="4"/>
      <c r="J5" s="4"/>
      <c r="K5" s="4">
        <v>46239</v>
      </c>
      <c r="L5" s="4"/>
      <c r="M5" s="4"/>
      <c r="N5" s="4"/>
      <c r="O5" s="4">
        <v>46240</v>
      </c>
      <c r="P5" s="4"/>
      <c r="Q5" s="4"/>
      <c r="R5" s="4"/>
      <c r="S5" s="4">
        <v>46241</v>
      </c>
      <c r="T5" s="4"/>
      <c r="U5" s="4"/>
      <c r="V5" s="4"/>
      <c r="W5" s="5">
        <v>46242</v>
      </c>
      <c r="X5" s="6"/>
      <c r="Y5" s="6"/>
      <c r="Z5" s="7"/>
      <c r="AA5" s="8"/>
      <c r="AB5" s="9" t="s">
        <v>3</v>
      </c>
      <c r="AC5" s="9"/>
      <c r="AD5" s="9"/>
      <c r="AE5" s="9"/>
    </row>
    <row r="6" spans="1:31" ht="30" hidden="1" customHeight="1" x14ac:dyDescent="0.25">
      <c r="A6" s="3"/>
      <c r="B6" s="3" t="s">
        <v>1</v>
      </c>
      <c r="C6" s="10" t="s">
        <v>4</v>
      </c>
      <c r="D6" s="10" t="s">
        <v>5</v>
      </c>
      <c r="E6" s="10" t="s">
        <v>6</v>
      </c>
      <c r="F6" s="10" t="s">
        <v>7</v>
      </c>
      <c r="G6" s="10" t="s">
        <v>4</v>
      </c>
      <c r="H6" s="10" t="s">
        <v>5</v>
      </c>
      <c r="I6" s="10" t="s">
        <v>6</v>
      </c>
      <c r="J6" s="10" t="s">
        <v>7</v>
      </c>
      <c r="K6" s="10" t="s">
        <v>4</v>
      </c>
      <c r="L6" s="10" t="s">
        <v>5</v>
      </c>
      <c r="M6" s="10" t="s">
        <v>6</v>
      </c>
      <c r="N6" s="10" t="s">
        <v>7</v>
      </c>
      <c r="O6" s="10" t="s">
        <v>4</v>
      </c>
      <c r="P6" s="10" t="s">
        <v>5</v>
      </c>
      <c r="Q6" s="10" t="s">
        <v>6</v>
      </c>
      <c r="R6" s="10" t="s">
        <v>7</v>
      </c>
      <c r="S6" s="10" t="s">
        <v>4</v>
      </c>
      <c r="T6" s="10" t="s">
        <v>5</v>
      </c>
      <c r="U6" s="10" t="s">
        <v>6</v>
      </c>
      <c r="V6" s="10" t="s">
        <v>7</v>
      </c>
      <c r="W6" s="10" t="s">
        <v>4</v>
      </c>
      <c r="X6" s="10" t="s">
        <v>5</v>
      </c>
      <c r="Y6" s="10" t="s">
        <v>6</v>
      </c>
      <c r="Z6" s="10" t="s">
        <v>7</v>
      </c>
      <c r="AA6" s="8"/>
      <c r="AB6" s="11" t="s">
        <v>8</v>
      </c>
      <c r="AC6" s="11" t="s">
        <v>9</v>
      </c>
      <c r="AD6" s="11" t="s">
        <v>6</v>
      </c>
      <c r="AE6" s="11" t="s">
        <v>7</v>
      </c>
    </row>
    <row r="7" spans="1:31" ht="30" hidden="1" customHeight="1" x14ac:dyDescent="0.25">
      <c r="A7" s="12" t="s">
        <v>10</v>
      </c>
      <c r="B7" s="13" t="s">
        <v>11</v>
      </c>
      <c r="C7" s="13">
        <v>768</v>
      </c>
      <c r="D7" s="13">
        <v>768</v>
      </c>
      <c r="E7" s="13">
        <f t="shared" ref="E7:E16" si="0">+C7-D7</f>
        <v>0</v>
      </c>
      <c r="F7" s="14">
        <f t="shared" ref="F7:F46" si="1">+C7/D7</f>
        <v>1</v>
      </c>
      <c r="G7" s="13">
        <v>750</v>
      </c>
      <c r="H7" s="13">
        <v>768</v>
      </c>
      <c r="I7" s="13">
        <f t="shared" ref="I7:I16" si="2">+G7-H7</f>
        <v>-18</v>
      </c>
      <c r="J7" s="14">
        <f t="shared" ref="J7:J46" si="3">+G7/H7</f>
        <v>0.9765625</v>
      </c>
      <c r="K7" s="13">
        <v>684</v>
      </c>
      <c r="L7" s="13">
        <v>768</v>
      </c>
      <c r="M7" s="13">
        <f t="shared" ref="M7:M23" si="4">+K7-L7</f>
        <v>-84</v>
      </c>
      <c r="N7" s="14">
        <f t="shared" ref="N7:N46" si="5">+K7/L7</f>
        <v>0.890625</v>
      </c>
      <c r="O7" s="13">
        <v>618</v>
      </c>
      <c r="P7" s="13">
        <v>768</v>
      </c>
      <c r="Q7" s="13">
        <f t="shared" ref="Q7:Q16" si="6">+O7-P7</f>
        <v>-150</v>
      </c>
      <c r="R7" s="14">
        <f t="shared" ref="R7:R46" si="7">+O7/P7</f>
        <v>0.8046875</v>
      </c>
      <c r="S7" s="15">
        <v>660</v>
      </c>
      <c r="T7" s="13">
        <v>672</v>
      </c>
      <c r="U7" s="15">
        <f t="shared" ref="U7:U23" si="8">+S7-T7</f>
        <v>-12</v>
      </c>
      <c r="V7" s="14">
        <f t="shared" ref="V7:V46" si="9">+S7/T7</f>
        <v>0.9821428571428571</v>
      </c>
      <c r="W7" s="13">
        <v>588</v>
      </c>
      <c r="X7" s="13">
        <v>588</v>
      </c>
      <c r="Y7" s="13">
        <f t="shared" ref="Y7:Y26" si="10">+W7-X7</f>
        <v>0</v>
      </c>
      <c r="Z7" s="14">
        <f t="shared" ref="Z7:Z46" si="11">+W7/X7</f>
        <v>1</v>
      </c>
      <c r="AA7" s="16"/>
      <c r="AB7" s="15">
        <f t="shared" ref="AB7:AC17" si="12">+C7+G7+K7+O7+S7+W7</f>
        <v>4068</v>
      </c>
      <c r="AC7" s="15">
        <f t="shared" si="12"/>
        <v>4332</v>
      </c>
      <c r="AD7" s="15">
        <f>+AB7-AC7</f>
        <v>-264</v>
      </c>
      <c r="AE7" s="14">
        <f t="shared" ref="AE7:AE46" si="13">+AB7/AC7</f>
        <v>0.93905817174515238</v>
      </c>
    </row>
    <row r="8" spans="1:31" ht="30" hidden="1" customHeight="1" x14ac:dyDescent="0.25">
      <c r="A8" s="12"/>
      <c r="B8" s="13" t="s">
        <v>12</v>
      </c>
      <c r="C8" s="13">
        <v>708</v>
      </c>
      <c r="D8" s="13">
        <v>768</v>
      </c>
      <c r="E8" s="13">
        <f t="shared" si="0"/>
        <v>-60</v>
      </c>
      <c r="F8" s="14">
        <f t="shared" si="1"/>
        <v>0.921875</v>
      </c>
      <c r="G8" s="13">
        <v>774</v>
      </c>
      <c r="H8" s="13">
        <v>768</v>
      </c>
      <c r="I8" s="13">
        <f t="shared" si="2"/>
        <v>6</v>
      </c>
      <c r="J8" s="14">
        <f t="shared" si="3"/>
        <v>1.0078125</v>
      </c>
      <c r="K8" s="13">
        <v>756</v>
      </c>
      <c r="L8" s="13">
        <v>768</v>
      </c>
      <c r="M8" s="13">
        <f t="shared" si="4"/>
        <v>-12</v>
      </c>
      <c r="N8" s="14">
        <f t="shared" si="5"/>
        <v>0.984375</v>
      </c>
      <c r="O8" s="13">
        <v>678</v>
      </c>
      <c r="P8" s="13">
        <v>768</v>
      </c>
      <c r="Q8" s="13">
        <f t="shared" si="6"/>
        <v>-90</v>
      </c>
      <c r="R8" s="14">
        <f t="shared" si="7"/>
        <v>0.8828125</v>
      </c>
      <c r="S8" s="15">
        <v>654</v>
      </c>
      <c r="T8" s="13">
        <v>672</v>
      </c>
      <c r="U8" s="15">
        <f t="shared" si="8"/>
        <v>-18</v>
      </c>
      <c r="V8" s="14">
        <f t="shared" si="9"/>
        <v>0.9732142857142857</v>
      </c>
      <c r="W8" s="13">
        <v>582</v>
      </c>
      <c r="X8" s="13">
        <v>588</v>
      </c>
      <c r="Y8" s="13">
        <f t="shared" si="10"/>
        <v>-6</v>
      </c>
      <c r="Z8" s="14">
        <f t="shared" si="11"/>
        <v>0.98979591836734693</v>
      </c>
      <c r="AA8" s="16"/>
      <c r="AB8" s="15">
        <f t="shared" si="12"/>
        <v>4152</v>
      </c>
      <c r="AC8" s="15">
        <f t="shared" si="12"/>
        <v>4332</v>
      </c>
      <c r="AD8" s="15">
        <f t="shared" ref="AD8:AD26" si="14">+AB8-AC8</f>
        <v>-180</v>
      </c>
      <c r="AE8" s="14">
        <f t="shared" si="13"/>
        <v>0.95844875346260383</v>
      </c>
    </row>
    <row r="9" spans="1:31" ht="30" hidden="1" customHeight="1" x14ac:dyDescent="0.25">
      <c r="A9" s="12"/>
      <c r="B9" s="13" t="s">
        <v>13</v>
      </c>
      <c r="C9" s="13">
        <v>618</v>
      </c>
      <c r="D9" s="13">
        <v>768</v>
      </c>
      <c r="E9" s="13">
        <f t="shared" si="0"/>
        <v>-150</v>
      </c>
      <c r="F9" s="14">
        <f t="shared" si="1"/>
        <v>0.8046875</v>
      </c>
      <c r="G9" s="13">
        <v>636</v>
      </c>
      <c r="H9" s="13">
        <v>768</v>
      </c>
      <c r="I9" s="13">
        <f t="shared" si="2"/>
        <v>-132</v>
      </c>
      <c r="J9" s="14">
        <f t="shared" si="3"/>
        <v>0.828125</v>
      </c>
      <c r="K9" s="13">
        <v>546</v>
      </c>
      <c r="L9" s="13">
        <v>768</v>
      </c>
      <c r="M9" s="13">
        <f t="shared" si="4"/>
        <v>-222</v>
      </c>
      <c r="N9" s="14">
        <f t="shared" si="5"/>
        <v>0.7109375</v>
      </c>
      <c r="O9" s="13">
        <v>558</v>
      </c>
      <c r="P9" s="13">
        <v>768</v>
      </c>
      <c r="Q9" s="13">
        <f t="shared" si="6"/>
        <v>-210</v>
      </c>
      <c r="R9" s="14">
        <f t="shared" si="7"/>
        <v>0.7265625</v>
      </c>
      <c r="S9" s="15">
        <v>510</v>
      </c>
      <c r="T9" s="13">
        <v>672</v>
      </c>
      <c r="U9" s="15">
        <f t="shared" si="8"/>
        <v>-162</v>
      </c>
      <c r="V9" s="14">
        <f t="shared" si="9"/>
        <v>0.7589285714285714</v>
      </c>
      <c r="W9" s="13">
        <v>534</v>
      </c>
      <c r="X9" s="13">
        <v>588</v>
      </c>
      <c r="Y9" s="13">
        <f t="shared" si="10"/>
        <v>-54</v>
      </c>
      <c r="Z9" s="14">
        <f t="shared" si="11"/>
        <v>0.90816326530612246</v>
      </c>
      <c r="AA9" s="16"/>
      <c r="AB9" s="15">
        <f t="shared" si="12"/>
        <v>3402</v>
      </c>
      <c r="AC9" s="15">
        <f t="shared" si="12"/>
        <v>4332</v>
      </c>
      <c r="AD9" s="15">
        <f t="shared" si="14"/>
        <v>-930</v>
      </c>
      <c r="AE9" s="14">
        <f t="shared" si="13"/>
        <v>0.78531855955678675</v>
      </c>
    </row>
    <row r="10" spans="1:31" ht="30" hidden="1" customHeight="1" x14ac:dyDescent="0.25">
      <c r="A10" s="12"/>
      <c r="B10" s="13" t="s">
        <v>14</v>
      </c>
      <c r="C10" s="13">
        <v>756</v>
      </c>
      <c r="D10" s="13">
        <v>768</v>
      </c>
      <c r="E10" s="13">
        <f t="shared" si="0"/>
        <v>-12</v>
      </c>
      <c r="F10" s="14">
        <f t="shared" si="1"/>
        <v>0.984375</v>
      </c>
      <c r="G10" s="13">
        <v>756</v>
      </c>
      <c r="H10" s="13">
        <v>768</v>
      </c>
      <c r="I10" s="13">
        <f t="shared" si="2"/>
        <v>-12</v>
      </c>
      <c r="J10" s="14">
        <f t="shared" si="3"/>
        <v>0.984375</v>
      </c>
      <c r="K10" s="13">
        <v>612</v>
      </c>
      <c r="L10" s="13">
        <v>768</v>
      </c>
      <c r="M10" s="13">
        <f t="shared" si="4"/>
        <v>-156</v>
      </c>
      <c r="N10" s="14">
        <f t="shared" si="5"/>
        <v>0.796875</v>
      </c>
      <c r="O10" s="13">
        <v>402</v>
      </c>
      <c r="P10" s="13">
        <v>672</v>
      </c>
      <c r="Q10" s="13">
        <f t="shared" si="6"/>
        <v>-270</v>
      </c>
      <c r="R10" s="14">
        <f t="shared" si="7"/>
        <v>0.5982142857142857</v>
      </c>
      <c r="S10" s="15">
        <v>528</v>
      </c>
      <c r="T10" s="13">
        <v>672</v>
      </c>
      <c r="U10" s="15">
        <f t="shared" si="8"/>
        <v>-144</v>
      </c>
      <c r="V10" s="14">
        <f t="shared" si="9"/>
        <v>0.7857142857142857</v>
      </c>
      <c r="W10" s="13">
        <v>426</v>
      </c>
      <c r="X10" s="13">
        <v>588</v>
      </c>
      <c r="Y10" s="13">
        <f t="shared" si="10"/>
        <v>-162</v>
      </c>
      <c r="Z10" s="14">
        <f t="shared" si="11"/>
        <v>0.72448979591836737</v>
      </c>
      <c r="AA10" s="16"/>
      <c r="AB10" s="15">
        <f t="shared" si="12"/>
        <v>3480</v>
      </c>
      <c r="AC10" s="15">
        <f t="shared" si="12"/>
        <v>4236</v>
      </c>
      <c r="AD10" s="15">
        <f t="shared" si="14"/>
        <v>-756</v>
      </c>
      <c r="AE10" s="14">
        <f t="shared" si="13"/>
        <v>0.82152974504249288</v>
      </c>
    </row>
    <row r="11" spans="1:31" ht="30" hidden="1" customHeight="1" x14ac:dyDescent="0.25">
      <c r="A11" s="12"/>
      <c r="B11" s="13" t="s">
        <v>15</v>
      </c>
      <c r="C11" s="13">
        <v>624</v>
      </c>
      <c r="D11" s="13">
        <v>768</v>
      </c>
      <c r="E11" s="13">
        <f t="shared" si="0"/>
        <v>-144</v>
      </c>
      <c r="F11" s="14">
        <f t="shared" si="1"/>
        <v>0.8125</v>
      </c>
      <c r="G11" s="13">
        <v>744</v>
      </c>
      <c r="H11" s="13">
        <v>768</v>
      </c>
      <c r="I11" s="13">
        <f t="shared" si="2"/>
        <v>-24</v>
      </c>
      <c r="J11" s="14">
        <f t="shared" si="3"/>
        <v>0.96875</v>
      </c>
      <c r="K11" s="13">
        <v>684</v>
      </c>
      <c r="L11" s="13">
        <v>768</v>
      </c>
      <c r="M11" s="13">
        <f t="shared" si="4"/>
        <v>-84</v>
      </c>
      <c r="N11" s="14">
        <f t="shared" si="5"/>
        <v>0.890625</v>
      </c>
      <c r="O11" s="13">
        <v>492</v>
      </c>
      <c r="P11" s="13">
        <v>672</v>
      </c>
      <c r="Q11" s="13">
        <f t="shared" si="6"/>
        <v>-180</v>
      </c>
      <c r="R11" s="14">
        <f t="shared" si="7"/>
        <v>0.7321428571428571</v>
      </c>
      <c r="S11" s="15">
        <v>138</v>
      </c>
      <c r="T11" s="13">
        <v>672</v>
      </c>
      <c r="U11" s="15">
        <f t="shared" si="8"/>
        <v>-534</v>
      </c>
      <c r="V11" s="14">
        <f t="shared" si="9"/>
        <v>0.20535714285714285</v>
      </c>
      <c r="W11" s="13">
        <v>282</v>
      </c>
      <c r="X11" s="13">
        <v>588</v>
      </c>
      <c r="Y11" s="13">
        <f t="shared" si="10"/>
        <v>-306</v>
      </c>
      <c r="Z11" s="14">
        <f t="shared" si="11"/>
        <v>0.47959183673469385</v>
      </c>
      <c r="AA11" s="16"/>
      <c r="AB11" s="15">
        <f t="shared" si="12"/>
        <v>2964</v>
      </c>
      <c r="AC11" s="15">
        <f t="shared" si="12"/>
        <v>4236</v>
      </c>
      <c r="AD11" s="15">
        <f t="shared" si="14"/>
        <v>-1272</v>
      </c>
      <c r="AE11" s="14">
        <f t="shared" si="13"/>
        <v>0.69971671388101986</v>
      </c>
    </row>
    <row r="12" spans="1:31" ht="30" hidden="1" customHeight="1" x14ac:dyDescent="0.25">
      <c r="A12" s="12"/>
      <c r="B12" s="13" t="s">
        <v>16</v>
      </c>
      <c r="C12" s="13">
        <v>756</v>
      </c>
      <c r="D12" s="13">
        <v>768</v>
      </c>
      <c r="E12" s="13">
        <f t="shared" si="0"/>
        <v>-12</v>
      </c>
      <c r="F12" s="14">
        <f t="shared" si="1"/>
        <v>0.984375</v>
      </c>
      <c r="G12" s="13">
        <v>756</v>
      </c>
      <c r="H12" s="13">
        <v>768</v>
      </c>
      <c r="I12" s="13">
        <f t="shared" si="2"/>
        <v>-12</v>
      </c>
      <c r="J12" s="14">
        <f t="shared" si="3"/>
        <v>0.984375</v>
      </c>
      <c r="K12" s="13">
        <v>540</v>
      </c>
      <c r="L12" s="13">
        <v>768</v>
      </c>
      <c r="M12" s="13">
        <f t="shared" si="4"/>
        <v>-228</v>
      </c>
      <c r="N12" s="14">
        <f t="shared" si="5"/>
        <v>0.703125</v>
      </c>
      <c r="O12" s="13">
        <v>426</v>
      </c>
      <c r="P12" s="13">
        <v>672</v>
      </c>
      <c r="Q12" s="13">
        <f t="shared" si="6"/>
        <v>-246</v>
      </c>
      <c r="R12" s="14">
        <f t="shared" si="7"/>
        <v>0.6339285714285714</v>
      </c>
      <c r="S12" s="15">
        <v>438</v>
      </c>
      <c r="T12" s="13">
        <v>672</v>
      </c>
      <c r="U12" s="15">
        <f t="shared" si="8"/>
        <v>-234</v>
      </c>
      <c r="V12" s="14">
        <f t="shared" si="9"/>
        <v>0.6517857142857143</v>
      </c>
      <c r="W12" s="13">
        <v>456</v>
      </c>
      <c r="X12" s="13">
        <v>588</v>
      </c>
      <c r="Y12" s="13">
        <f t="shared" si="10"/>
        <v>-132</v>
      </c>
      <c r="Z12" s="14">
        <f t="shared" si="11"/>
        <v>0.77551020408163263</v>
      </c>
      <c r="AA12" s="16"/>
      <c r="AB12" s="15">
        <f t="shared" si="12"/>
        <v>3372</v>
      </c>
      <c r="AC12" s="15">
        <f t="shared" si="12"/>
        <v>4236</v>
      </c>
      <c r="AD12" s="15">
        <f t="shared" si="14"/>
        <v>-864</v>
      </c>
      <c r="AE12" s="14">
        <f t="shared" si="13"/>
        <v>0.79603399433427757</v>
      </c>
    </row>
    <row r="13" spans="1:31" ht="30" hidden="1" customHeight="1" x14ac:dyDescent="0.25">
      <c r="A13" s="12"/>
      <c r="B13" s="13" t="s">
        <v>17</v>
      </c>
      <c r="C13" s="13">
        <v>606</v>
      </c>
      <c r="D13" s="13">
        <v>672</v>
      </c>
      <c r="E13" s="13">
        <f t="shared" si="0"/>
        <v>-66</v>
      </c>
      <c r="F13" s="14">
        <f t="shared" si="1"/>
        <v>0.9017857142857143</v>
      </c>
      <c r="G13" s="13">
        <v>618</v>
      </c>
      <c r="H13" s="13">
        <v>672</v>
      </c>
      <c r="I13" s="13">
        <f t="shared" si="2"/>
        <v>-54</v>
      </c>
      <c r="J13" s="14">
        <f t="shared" si="3"/>
        <v>0.9196428571428571</v>
      </c>
      <c r="K13" s="13">
        <v>660</v>
      </c>
      <c r="L13" s="13">
        <v>672</v>
      </c>
      <c r="M13" s="13">
        <f t="shared" si="4"/>
        <v>-12</v>
      </c>
      <c r="N13" s="14">
        <f t="shared" si="5"/>
        <v>0.9821428571428571</v>
      </c>
      <c r="O13" s="13">
        <v>660</v>
      </c>
      <c r="P13" s="15">
        <v>672</v>
      </c>
      <c r="Q13" s="13">
        <f t="shared" si="6"/>
        <v>-12</v>
      </c>
      <c r="R13" s="14">
        <f t="shared" si="7"/>
        <v>0.9821428571428571</v>
      </c>
      <c r="S13" s="15">
        <v>390</v>
      </c>
      <c r="T13" s="13">
        <v>672</v>
      </c>
      <c r="U13" s="15">
        <f t="shared" si="8"/>
        <v>-282</v>
      </c>
      <c r="V13" s="14">
        <f t="shared" si="9"/>
        <v>0.5803571428571429</v>
      </c>
      <c r="W13" s="13">
        <v>0</v>
      </c>
      <c r="X13" s="13">
        <v>0</v>
      </c>
      <c r="Y13" s="13">
        <f t="shared" si="10"/>
        <v>0</v>
      </c>
      <c r="Z13" s="14" t="e">
        <f t="shared" si="11"/>
        <v>#DIV/0!</v>
      </c>
      <c r="AA13" s="16"/>
      <c r="AB13" s="15">
        <f t="shared" si="12"/>
        <v>2934</v>
      </c>
      <c r="AC13" s="15">
        <f t="shared" si="12"/>
        <v>3360</v>
      </c>
      <c r="AD13" s="15">
        <f t="shared" si="14"/>
        <v>-426</v>
      </c>
      <c r="AE13" s="14">
        <f t="shared" si="13"/>
        <v>0.87321428571428572</v>
      </c>
    </row>
    <row r="14" spans="1:31" ht="30" hidden="1" customHeight="1" x14ac:dyDescent="0.25">
      <c r="A14" s="12"/>
      <c r="B14" s="13" t="s">
        <v>18</v>
      </c>
      <c r="C14" s="13">
        <v>636</v>
      </c>
      <c r="D14" s="13">
        <v>768</v>
      </c>
      <c r="E14" s="13">
        <f t="shared" si="0"/>
        <v>-132</v>
      </c>
      <c r="F14" s="14">
        <f t="shared" si="1"/>
        <v>0.828125</v>
      </c>
      <c r="G14" s="13">
        <v>570</v>
      </c>
      <c r="H14" s="13">
        <v>768</v>
      </c>
      <c r="I14" s="13">
        <f t="shared" si="2"/>
        <v>-198</v>
      </c>
      <c r="J14" s="14">
        <f t="shared" si="3"/>
        <v>0.7421875</v>
      </c>
      <c r="K14" s="13">
        <v>522</v>
      </c>
      <c r="L14" s="13">
        <v>768</v>
      </c>
      <c r="M14" s="13">
        <f t="shared" si="4"/>
        <v>-246</v>
      </c>
      <c r="N14" s="14">
        <f t="shared" si="5"/>
        <v>0.6796875</v>
      </c>
      <c r="O14" s="13">
        <v>498</v>
      </c>
      <c r="P14" s="13">
        <v>768</v>
      </c>
      <c r="Q14" s="13">
        <f t="shared" si="6"/>
        <v>-270</v>
      </c>
      <c r="R14" s="14">
        <f t="shared" si="7"/>
        <v>0.6484375</v>
      </c>
      <c r="S14" s="15">
        <v>510</v>
      </c>
      <c r="T14" s="13">
        <v>672</v>
      </c>
      <c r="U14" s="15">
        <f t="shared" si="8"/>
        <v>-162</v>
      </c>
      <c r="V14" s="14">
        <f t="shared" si="9"/>
        <v>0.7589285714285714</v>
      </c>
      <c r="W14" s="13">
        <v>414</v>
      </c>
      <c r="X14" s="13">
        <v>588</v>
      </c>
      <c r="Y14" s="13">
        <f t="shared" si="10"/>
        <v>-174</v>
      </c>
      <c r="Z14" s="14">
        <f t="shared" si="11"/>
        <v>0.70408163265306123</v>
      </c>
      <c r="AA14" s="16"/>
      <c r="AB14" s="15">
        <f t="shared" si="12"/>
        <v>3150</v>
      </c>
      <c r="AC14" s="15">
        <f t="shared" si="12"/>
        <v>4332</v>
      </c>
      <c r="AD14" s="15">
        <f t="shared" si="14"/>
        <v>-1182</v>
      </c>
      <c r="AE14" s="14">
        <f t="shared" si="13"/>
        <v>0.72714681440443218</v>
      </c>
    </row>
    <row r="15" spans="1:31" ht="30" hidden="1" customHeight="1" x14ac:dyDescent="0.25">
      <c r="A15" s="12"/>
      <c r="B15" s="13" t="s">
        <v>19</v>
      </c>
      <c r="C15" s="13">
        <v>720</v>
      </c>
      <c r="D15" s="13">
        <v>768</v>
      </c>
      <c r="E15" s="13">
        <f t="shared" si="0"/>
        <v>-48</v>
      </c>
      <c r="F15" s="14">
        <f t="shared" si="1"/>
        <v>0.9375</v>
      </c>
      <c r="G15" s="13">
        <v>672</v>
      </c>
      <c r="H15" s="13">
        <v>768</v>
      </c>
      <c r="I15" s="13">
        <f t="shared" si="2"/>
        <v>-96</v>
      </c>
      <c r="J15" s="14">
        <f t="shared" si="3"/>
        <v>0.875</v>
      </c>
      <c r="K15" s="13">
        <v>618</v>
      </c>
      <c r="L15" s="13">
        <v>768</v>
      </c>
      <c r="M15" s="13">
        <f t="shared" si="4"/>
        <v>-150</v>
      </c>
      <c r="N15" s="14">
        <f t="shared" si="5"/>
        <v>0.8046875</v>
      </c>
      <c r="O15" s="13">
        <v>540</v>
      </c>
      <c r="P15" s="13">
        <v>768</v>
      </c>
      <c r="Q15" s="13">
        <f t="shared" si="6"/>
        <v>-228</v>
      </c>
      <c r="R15" s="14">
        <f t="shared" si="7"/>
        <v>0.703125</v>
      </c>
      <c r="S15" s="15">
        <v>588</v>
      </c>
      <c r="T15" s="13">
        <v>672</v>
      </c>
      <c r="U15" s="15">
        <f t="shared" si="8"/>
        <v>-84</v>
      </c>
      <c r="V15" s="14">
        <f t="shared" si="9"/>
        <v>0.875</v>
      </c>
      <c r="W15" s="13">
        <v>0</v>
      </c>
      <c r="X15" s="13">
        <v>0</v>
      </c>
      <c r="Y15" s="13">
        <f t="shared" si="10"/>
        <v>0</v>
      </c>
      <c r="Z15" s="14" t="e">
        <f t="shared" si="11"/>
        <v>#DIV/0!</v>
      </c>
      <c r="AA15" s="16"/>
      <c r="AB15" s="15">
        <f t="shared" si="12"/>
        <v>3138</v>
      </c>
      <c r="AC15" s="15">
        <f t="shared" si="12"/>
        <v>3744</v>
      </c>
      <c r="AD15" s="15">
        <f t="shared" si="14"/>
        <v>-606</v>
      </c>
      <c r="AE15" s="14">
        <f t="shared" si="13"/>
        <v>0.83814102564102566</v>
      </c>
    </row>
    <row r="16" spans="1:31" ht="30" hidden="1" customHeight="1" x14ac:dyDescent="0.25">
      <c r="A16" s="12"/>
      <c r="B16" s="13" t="s">
        <v>20</v>
      </c>
      <c r="C16" s="13">
        <v>600</v>
      </c>
      <c r="D16" s="13">
        <v>672</v>
      </c>
      <c r="E16" s="13">
        <f t="shared" si="0"/>
        <v>-72</v>
      </c>
      <c r="F16" s="14">
        <f t="shared" si="1"/>
        <v>0.8928571428571429</v>
      </c>
      <c r="G16" s="13">
        <v>636</v>
      </c>
      <c r="H16" s="13">
        <v>672</v>
      </c>
      <c r="I16" s="13">
        <f t="shared" si="2"/>
        <v>-36</v>
      </c>
      <c r="J16" s="14">
        <f t="shared" si="3"/>
        <v>0.9464285714285714</v>
      </c>
      <c r="K16" s="13">
        <v>588</v>
      </c>
      <c r="L16" s="13">
        <v>672</v>
      </c>
      <c r="M16" s="13">
        <f t="shared" si="4"/>
        <v>-84</v>
      </c>
      <c r="N16" s="14">
        <f t="shared" si="5"/>
        <v>0.875</v>
      </c>
      <c r="O16" s="13">
        <v>546</v>
      </c>
      <c r="P16" s="13">
        <v>672</v>
      </c>
      <c r="Q16" s="13">
        <f t="shared" si="6"/>
        <v>-126</v>
      </c>
      <c r="R16" s="14">
        <f t="shared" si="7"/>
        <v>0.8125</v>
      </c>
      <c r="S16" s="15">
        <v>438</v>
      </c>
      <c r="T16" s="13">
        <v>672</v>
      </c>
      <c r="U16" s="15">
        <f t="shared" si="8"/>
        <v>-234</v>
      </c>
      <c r="V16" s="14">
        <f t="shared" si="9"/>
        <v>0.6517857142857143</v>
      </c>
      <c r="W16" s="13">
        <v>0</v>
      </c>
      <c r="X16" s="13">
        <v>0</v>
      </c>
      <c r="Y16" s="13">
        <f t="shared" si="10"/>
        <v>0</v>
      </c>
      <c r="Z16" s="14" t="e">
        <f t="shared" si="11"/>
        <v>#DIV/0!</v>
      </c>
      <c r="AA16" s="16"/>
      <c r="AB16" s="15">
        <f t="shared" si="12"/>
        <v>2808</v>
      </c>
      <c r="AC16" s="15">
        <f t="shared" si="12"/>
        <v>3360</v>
      </c>
      <c r="AD16" s="15">
        <f t="shared" si="14"/>
        <v>-552</v>
      </c>
      <c r="AE16" s="14">
        <f t="shared" si="13"/>
        <v>0.83571428571428574</v>
      </c>
    </row>
    <row r="17" spans="1:31" ht="30" hidden="1" customHeight="1" x14ac:dyDescent="0.25">
      <c r="A17" s="12"/>
      <c r="B17" s="13" t="s">
        <v>21</v>
      </c>
      <c r="C17" s="13">
        <v>372</v>
      </c>
      <c r="D17" s="13">
        <v>672</v>
      </c>
      <c r="E17" s="13">
        <f>+C17-D17</f>
        <v>-300</v>
      </c>
      <c r="F17" s="14">
        <f t="shared" si="1"/>
        <v>0.5535714285714286</v>
      </c>
      <c r="G17" s="13">
        <v>360</v>
      </c>
      <c r="H17" s="13">
        <v>672</v>
      </c>
      <c r="I17" s="13">
        <f>+G17-H17</f>
        <v>-312</v>
      </c>
      <c r="J17" s="14">
        <f t="shared" si="3"/>
        <v>0.5357142857142857</v>
      </c>
      <c r="K17" s="13">
        <v>348</v>
      </c>
      <c r="L17" s="13">
        <v>672</v>
      </c>
      <c r="M17" s="13">
        <f t="shared" si="4"/>
        <v>-324</v>
      </c>
      <c r="N17" s="14">
        <f t="shared" si="5"/>
        <v>0.5178571428571429</v>
      </c>
      <c r="O17" s="13">
        <v>336</v>
      </c>
      <c r="P17" s="13">
        <v>672</v>
      </c>
      <c r="Q17" s="13">
        <f>+O17-P17</f>
        <v>-336</v>
      </c>
      <c r="R17" s="14">
        <f t="shared" si="7"/>
        <v>0.5</v>
      </c>
      <c r="S17" s="13">
        <v>354</v>
      </c>
      <c r="T17" s="13">
        <v>672</v>
      </c>
      <c r="U17" s="15">
        <f t="shared" si="8"/>
        <v>-318</v>
      </c>
      <c r="V17" s="14">
        <f t="shared" si="9"/>
        <v>0.5267857142857143</v>
      </c>
      <c r="W17" s="13">
        <v>0</v>
      </c>
      <c r="X17" s="13">
        <v>0</v>
      </c>
      <c r="Y17" s="13">
        <f t="shared" si="10"/>
        <v>0</v>
      </c>
      <c r="Z17" s="14" t="e">
        <f t="shared" si="11"/>
        <v>#DIV/0!</v>
      </c>
      <c r="AA17" s="16"/>
      <c r="AB17" s="15">
        <f t="shared" si="12"/>
        <v>1770</v>
      </c>
      <c r="AC17" s="15">
        <f t="shared" si="12"/>
        <v>3360</v>
      </c>
      <c r="AD17" s="15">
        <f t="shared" si="14"/>
        <v>-1590</v>
      </c>
      <c r="AE17" s="14">
        <f t="shared" si="13"/>
        <v>0.5267857142857143</v>
      </c>
    </row>
    <row r="18" spans="1:31" ht="30" hidden="1" customHeight="1" x14ac:dyDescent="0.25">
      <c r="A18" s="12"/>
      <c r="B18" s="17" t="s">
        <v>22</v>
      </c>
      <c r="C18" s="17">
        <f>SUM(C7:C17)</f>
        <v>7164</v>
      </c>
      <c r="D18" s="17">
        <f>SUM(D7:D17)</f>
        <v>8160</v>
      </c>
      <c r="E18" s="17">
        <f>C18-D18</f>
        <v>-996</v>
      </c>
      <c r="F18" s="18">
        <f t="shared" si="1"/>
        <v>0.87794117647058822</v>
      </c>
      <c r="G18" s="17">
        <f>SUM(G7:G17)</f>
        <v>7272</v>
      </c>
      <c r="H18" s="17">
        <f>SUM(H7:H17)</f>
        <v>8160</v>
      </c>
      <c r="I18" s="17">
        <f>G18-H18</f>
        <v>-888</v>
      </c>
      <c r="J18" s="18">
        <f t="shared" si="3"/>
        <v>0.89117647058823535</v>
      </c>
      <c r="K18" s="17">
        <f>SUM(K7:K17)</f>
        <v>6558</v>
      </c>
      <c r="L18" s="17">
        <f>SUM(L7:L17)</f>
        <v>8160</v>
      </c>
      <c r="M18" s="17">
        <f t="shared" si="4"/>
        <v>-1602</v>
      </c>
      <c r="N18" s="18">
        <f t="shared" si="5"/>
        <v>0.80367647058823533</v>
      </c>
      <c r="O18" s="17">
        <f>SUM(O7:O17)</f>
        <v>5754</v>
      </c>
      <c r="P18" s="17">
        <f>SUM(P7:P17)</f>
        <v>7872</v>
      </c>
      <c r="Q18" s="17">
        <f>O18-P18</f>
        <v>-2118</v>
      </c>
      <c r="R18" s="18">
        <f t="shared" si="7"/>
        <v>0.73094512195121952</v>
      </c>
      <c r="S18" s="17">
        <f>SUM(S7:S17)</f>
        <v>5208</v>
      </c>
      <c r="T18" s="17">
        <f>SUM(T7:T17)</f>
        <v>7392</v>
      </c>
      <c r="U18" s="17">
        <f t="shared" si="8"/>
        <v>-2184</v>
      </c>
      <c r="V18" s="18">
        <f t="shared" si="9"/>
        <v>0.70454545454545459</v>
      </c>
      <c r="W18" s="17">
        <f>SUM(W7:W17)</f>
        <v>3282</v>
      </c>
      <c r="X18" s="17">
        <f>SUM(X7:X17)</f>
        <v>4116</v>
      </c>
      <c r="Y18" s="17">
        <f t="shared" si="10"/>
        <v>-834</v>
      </c>
      <c r="Z18" s="18">
        <f t="shared" si="11"/>
        <v>0.79737609329446069</v>
      </c>
      <c r="AA18" s="19">
        <f>SUM(AA7:AA17)</f>
        <v>0</v>
      </c>
      <c r="AB18" s="17">
        <f>SUM(AB7:AB17)</f>
        <v>35238</v>
      </c>
      <c r="AC18" s="17">
        <f>SUM(AC7:AC17)</f>
        <v>43860</v>
      </c>
      <c r="AD18" s="17">
        <f t="shared" si="14"/>
        <v>-8622</v>
      </c>
      <c r="AE18" s="18">
        <f t="shared" si="13"/>
        <v>0.80341997264021892</v>
      </c>
    </row>
    <row r="19" spans="1:31" ht="30" hidden="1" customHeight="1" x14ac:dyDescent="0.25">
      <c r="A19" s="12"/>
      <c r="B19" s="13" t="s">
        <v>23</v>
      </c>
      <c r="C19" s="13">
        <v>156</v>
      </c>
      <c r="D19" s="13">
        <v>672</v>
      </c>
      <c r="E19" s="13">
        <f t="shared" ref="E19:E25" si="15">+C19-D19</f>
        <v>-516</v>
      </c>
      <c r="F19" s="14">
        <f t="shared" si="1"/>
        <v>0.23214285714285715</v>
      </c>
      <c r="G19" s="13">
        <v>744</v>
      </c>
      <c r="H19" s="13">
        <v>672</v>
      </c>
      <c r="I19" s="13">
        <f t="shared" ref="I19:I25" si="16">+G19-H19</f>
        <v>72</v>
      </c>
      <c r="J19" s="14">
        <f t="shared" si="3"/>
        <v>1.1071428571428572</v>
      </c>
      <c r="K19" s="13">
        <v>828</v>
      </c>
      <c r="L19" s="13">
        <v>672</v>
      </c>
      <c r="M19" s="13">
        <f t="shared" si="4"/>
        <v>156</v>
      </c>
      <c r="N19" s="14">
        <f t="shared" si="5"/>
        <v>1.2321428571428572</v>
      </c>
      <c r="O19" s="13">
        <v>672</v>
      </c>
      <c r="P19" s="13">
        <v>672</v>
      </c>
      <c r="Q19" s="13">
        <f t="shared" ref="Q19:Q25" si="17">+O19-P19</f>
        <v>0</v>
      </c>
      <c r="R19" s="14">
        <f t="shared" si="7"/>
        <v>1</v>
      </c>
      <c r="S19" s="15">
        <v>672</v>
      </c>
      <c r="T19" s="13">
        <v>672</v>
      </c>
      <c r="U19" s="15">
        <f t="shared" si="8"/>
        <v>0</v>
      </c>
      <c r="V19" s="14">
        <f t="shared" si="9"/>
        <v>1</v>
      </c>
      <c r="W19" s="13">
        <v>0</v>
      </c>
      <c r="X19" s="13">
        <v>0</v>
      </c>
      <c r="Y19" s="13">
        <f t="shared" si="10"/>
        <v>0</v>
      </c>
      <c r="Z19" s="14" t="e">
        <f t="shared" si="11"/>
        <v>#DIV/0!</v>
      </c>
      <c r="AA19" s="16"/>
      <c r="AB19" s="15">
        <f t="shared" ref="AB19:AC25" si="18">+C19+G19+K19+O19+S19+W19</f>
        <v>3072</v>
      </c>
      <c r="AC19" s="15">
        <f t="shared" si="18"/>
        <v>3360</v>
      </c>
      <c r="AD19" s="15">
        <f t="shared" si="14"/>
        <v>-288</v>
      </c>
      <c r="AE19" s="14">
        <f t="shared" si="13"/>
        <v>0.91428571428571426</v>
      </c>
    </row>
    <row r="20" spans="1:31" ht="30" hidden="1" customHeight="1" x14ac:dyDescent="0.25">
      <c r="A20" s="12"/>
      <c r="B20" s="13" t="s">
        <v>24</v>
      </c>
      <c r="C20" s="13">
        <v>432</v>
      </c>
      <c r="D20" s="13">
        <v>480</v>
      </c>
      <c r="E20" s="13">
        <f t="shared" si="15"/>
        <v>-48</v>
      </c>
      <c r="F20" s="14">
        <f t="shared" si="1"/>
        <v>0.9</v>
      </c>
      <c r="G20" s="13">
        <v>492</v>
      </c>
      <c r="H20" s="13">
        <v>540</v>
      </c>
      <c r="I20" s="13">
        <f t="shared" si="16"/>
        <v>-48</v>
      </c>
      <c r="J20" s="14">
        <f t="shared" si="3"/>
        <v>0.91111111111111109</v>
      </c>
      <c r="K20" s="13">
        <v>552</v>
      </c>
      <c r="L20" s="13">
        <v>567</v>
      </c>
      <c r="M20" s="13">
        <f t="shared" si="4"/>
        <v>-15</v>
      </c>
      <c r="N20" s="14">
        <f t="shared" si="5"/>
        <v>0.97354497354497349</v>
      </c>
      <c r="O20" s="13">
        <v>480</v>
      </c>
      <c r="P20" s="13">
        <v>567</v>
      </c>
      <c r="Q20" s="13">
        <f t="shared" si="17"/>
        <v>-87</v>
      </c>
      <c r="R20" s="14">
        <f t="shared" si="7"/>
        <v>0.84656084656084651</v>
      </c>
      <c r="S20" s="15">
        <v>390</v>
      </c>
      <c r="T20" s="13">
        <v>504</v>
      </c>
      <c r="U20" s="15">
        <f t="shared" si="8"/>
        <v>-114</v>
      </c>
      <c r="V20" s="14">
        <f t="shared" si="9"/>
        <v>0.77380952380952384</v>
      </c>
      <c r="W20" s="13">
        <v>0</v>
      </c>
      <c r="X20" s="13">
        <v>0</v>
      </c>
      <c r="Y20" s="13">
        <f t="shared" si="10"/>
        <v>0</v>
      </c>
      <c r="Z20" s="14" t="e">
        <f t="shared" si="11"/>
        <v>#DIV/0!</v>
      </c>
      <c r="AA20" s="16"/>
      <c r="AB20" s="15">
        <f t="shared" si="18"/>
        <v>2346</v>
      </c>
      <c r="AC20" s="15">
        <f t="shared" si="18"/>
        <v>2658</v>
      </c>
      <c r="AD20" s="15">
        <f t="shared" si="14"/>
        <v>-312</v>
      </c>
      <c r="AE20" s="14">
        <f t="shared" si="13"/>
        <v>0.88261851015801351</v>
      </c>
    </row>
    <row r="21" spans="1:31" ht="30" hidden="1" customHeight="1" x14ac:dyDescent="0.25">
      <c r="A21" s="12"/>
      <c r="B21" s="13" t="s">
        <v>25</v>
      </c>
      <c r="C21" s="13">
        <v>102</v>
      </c>
      <c r="D21" s="13">
        <v>408</v>
      </c>
      <c r="E21" s="13">
        <f t="shared" si="15"/>
        <v>-306</v>
      </c>
      <c r="F21" s="14">
        <f t="shared" si="1"/>
        <v>0.25</v>
      </c>
      <c r="G21" s="13">
        <v>216</v>
      </c>
      <c r="H21" s="13">
        <v>408</v>
      </c>
      <c r="I21" s="13">
        <f t="shared" si="16"/>
        <v>-192</v>
      </c>
      <c r="J21" s="14">
        <f t="shared" si="3"/>
        <v>0.52941176470588236</v>
      </c>
      <c r="K21" s="13">
        <v>210</v>
      </c>
      <c r="L21" s="13">
        <v>408</v>
      </c>
      <c r="M21" s="13">
        <f t="shared" si="4"/>
        <v>-198</v>
      </c>
      <c r="N21" s="14">
        <f t="shared" si="5"/>
        <v>0.51470588235294112</v>
      </c>
      <c r="O21" s="13">
        <v>192</v>
      </c>
      <c r="P21" s="13">
        <v>408</v>
      </c>
      <c r="Q21" s="13">
        <f t="shared" si="17"/>
        <v>-216</v>
      </c>
      <c r="R21" s="14">
        <f t="shared" si="7"/>
        <v>0.47058823529411764</v>
      </c>
      <c r="S21" s="15">
        <v>168</v>
      </c>
      <c r="T21" s="13">
        <v>456</v>
      </c>
      <c r="U21" s="15">
        <f t="shared" si="8"/>
        <v>-288</v>
      </c>
      <c r="V21" s="14">
        <f t="shared" si="9"/>
        <v>0.36842105263157893</v>
      </c>
      <c r="W21" s="13">
        <v>0</v>
      </c>
      <c r="X21" s="13">
        <v>0</v>
      </c>
      <c r="Y21" s="13">
        <f t="shared" si="10"/>
        <v>0</v>
      </c>
      <c r="Z21" s="14" t="e">
        <f t="shared" si="11"/>
        <v>#DIV/0!</v>
      </c>
      <c r="AA21" s="16"/>
      <c r="AB21" s="15">
        <f t="shared" si="18"/>
        <v>888</v>
      </c>
      <c r="AC21" s="15">
        <f t="shared" si="18"/>
        <v>2088</v>
      </c>
      <c r="AD21" s="15">
        <f t="shared" si="14"/>
        <v>-1200</v>
      </c>
      <c r="AE21" s="14">
        <f t="shared" si="13"/>
        <v>0.42528735632183906</v>
      </c>
    </row>
    <row r="22" spans="1:31" ht="30" hidden="1" customHeight="1" x14ac:dyDescent="0.25">
      <c r="A22" s="12"/>
      <c r="B22" s="13" t="s">
        <v>26</v>
      </c>
      <c r="C22" s="13">
        <v>672</v>
      </c>
      <c r="D22" s="13">
        <v>672</v>
      </c>
      <c r="E22" s="13">
        <f t="shared" si="15"/>
        <v>0</v>
      </c>
      <c r="F22" s="14">
        <f t="shared" si="1"/>
        <v>1</v>
      </c>
      <c r="G22" s="13">
        <v>456</v>
      </c>
      <c r="H22" s="13">
        <v>672</v>
      </c>
      <c r="I22" s="13">
        <f t="shared" si="16"/>
        <v>-216</v>
      </c>
      <c r="J22" s="14">
        <f t="shared" si="3"/>
        <v>0.6785714285714286</v>
      </c>
      <c r="K22" s="13">
        <v>222</v>
      </c>
      <c r="L22" s="13">
        <v>672</v>
      </c>
      <c r="M22" s="13">
        <f t="shared" si="4"/>
        <v>-450</v>
      </c>
      <c r="N22" s="14">
        <f t="shared" si="5"/>
        <v>0.33035714285714285</v>
      </c>
      <c r="O22" s="13">
        <v>936</v>
      </c>
      <c r="P22" s="13">
        <v>672</v>
      </c>
      <c r="Q22" s="13">
        <f t="shared" si="17"/>
        <v>264</v>
      </c>
      <c r="R22" s="14">
        <f t="shared" si="7"/>
        <v>1.3928571428571428</v>
      </c>
      <c r="S22" s="15">
        <v>804</v>
      </c>
      <c r="T22" s="13">
        <v>672</v>
      </c>
      <c r="U22" s="15">
        <f t="shared" si="8"/>
        <v>132</v>
      </c>
      <c r="V22" s="14">
        <f t="shared" si="9"/>
        <v>1.1964285714285714</v>
      </c>
      <c r="W22" s="13">
        <v>0</v>
      </c>
      <c r="X22" s="13">
        <v>0</v>
      </c>
      <c r="Y22" s="13">
        <f t="shared" si="10"/>
        <v>0</v>
      </c>
      <c r="Z22" s="14" t="e">
        <f t="shared" si="11"/>
        <v>#DIV/0!</v>
      </c>
      <c r="AA22" s="16"/>
      <c r="AB22" s="15">
        <f t="shared" si="18"/>
        <v>3090</v>
      </c>
      <c r="AC22" s="15">
        <f t="shared" si="18"/>
        <v>3360</v>
      </c>
      <c r="AD22" s="15">
        <f t="shared" si="14"/>
        <v>-270</v>
      </c>
      <c r="AE22" s="14">
        <f t="shared" si="13"/>
        <v>0.9196428571428571</v>
      </c>
    </row>
    <row r="23" spans="1:31" ht="30" hidden="1" customHeight="1" x14ac:dyDescent="0.25">
      <c r="A23" s="12"/>
      <c r="B23" s="13" t="s">
        <v>27</v>
      </c>
      <c r="C23" s="13">
        <v>468</v>
      </c>
      <c r="D23" s="13">
        <v>672</v>
      </c>
      <c r="E23" s="13">
        <f t="shared" si="15"/>
        <v>-204</v>
      </c>
      <c r="F23" s="14">
        <f t="shared" si="1"/>
        <v>0.6964285714285714</v>
      </c>
      <c r="G23" s="13">
        <v>282</v>
      </c>
      <c r="H23" s="13">
        <v>672</v>
      </c>
      <c r="I23" s="13">
        <f t="shared" si="16"/>
        <v>-390</v>
      </c>
      <c r="J23" s="14">
        <f t="shared" si="3"/>
        <v>0.41964285714285715</v>
      </c>
      <c r="K23" s="13">
        <v>168</v>
      </c>
      <c r="L23" s="13">
        <v>672</v>
      </c>
      <c r="M23" s="13">
        <f t="shared" si="4"/>
        <v>-504</v>
      </c>
      <c r="N23" s="14">
        <f t="shared" si="5"/>
        <v>0.25</v>
      </c>
      <c r="O23" s="13">
        <v>270</v>
      </c>
      <c r="P23" s="13">
        <v>672</v>
      </c>
      <c r="Q23" s="13">
        <f t="shared" si="17"/>
        <v>-402</v>
      </c>
      <c r="R23" s="14">
        <f t="shared" si="7"/>
        <v>0.4017857142857143</v>
      </c>
      <c r="S23" s="15">
        <v>276</v>
      </c>
      <c r="T23" s="13">
        <v>672</v>
      </c>
      <c r="U23" s="15">
        <f t="shared" si="8"/>
        <v>-396</v>
      </c>
      <c r="V23" s="14">
        <f t="shared" si="9"/>
        <v>0.4107142857142857</v>
      </c>
      <c r="W23" s="13">
        <v>0</v>
      </c>
      <c r="X23" s="13">
        <v>0</v>
      </c>
      <c r="Y23" s="13">
        <f t="shared" si="10"/>
        <v>0</v>
      </c>
      <c r="Z23" s="14" t="e">
        <f t="shared" si="11"/>
        <v>#DIV/0!</v>
      </c>
      <c r="AA23" s="16"/>
      <c r="AB23" s="15">
        <f t="shared" si="18"/>
        <v>1464</v>
      </c>
      <c r="AC23" s="15">
        <f t="shared" si="18"/>
        <v>3360</v>
      </c>
      <c r="AD23" s="15">
        <f t="shared" si="14"/>
        <v>-1896</v>
      </c>
      <c r="AE23" s="14">
        <f t="shared" si="13"/>
        <v>0.43571428571428572</v>
      </c>
    </row>
    <row r="24" spans="1:31" ht="30" hidden="1" customHeight="1" x14ac:dyDescent="0.25">
      <c r="A24" s="12"/>
      <c r="B24" s="13" t="s">
        <v>28</v>
      </c>
      <c r="C24" s="13">
        <v>210</v>
      </c>
      <c r="D24" s="13">
        <v>300</v>
      </c>
      <c r="E24" s="13">
        <f t="shared" si="15"/>
        <v>-90</v>
      </c>
      <c r="F24" s="14">
        <f t="shared" si="1"/>
        <v>0.7</v>
      </c>
      <c r="G24" s="13">
        <v>234</v>
      </c>
      <c r="H24" s="13">
        <v>300</v>
      </c>
      <c r="I24" s="13">
        <f t="shared" si="16"/>
        <v>-66</v>
      </c>
      <c r="J24" s="14">
        <f t="shared" si="3"/>
        <v>0.78</v>
      </c>
      <c r="K24" s="13">
        <v>246</v>
      </c>
      <c r="L24" s="13">
        <v>300</v>
      </c>
      <c r="M24" s="13">
        <f>+K24-L24</f>
        <v>-54</v>
      </c>
      <c r="N24" s="14">
        <f t="shared" si="5"/>
        <v>0.82</v>
      </c>
      <c r="O24" s="13">
        <v>264</v>
      </c>
      <c r="P24" s="13">
        <v>300</v>
      </c>
      <c r="Q24" s="13">
        <f t="shared" si="17"/>
        <v>-36</v>
      </c>
      <c r="R24" s="14">
        <f t="shared" si="7"/>
        <v>0.88</v>
      </c>
      <c r="S24" s="15">
        <v>216</v>
      </c>
      <c r="T24" s="13">
        <v>300</v>
      </c>
      <c r="U24" s="15">
        <f>+S24-T24</f>
        <v>-84</v>
      </c>
      <c r="V24" s="14">
        <f t="shared" si="9"/>
        <v>0.72</v>
      </c>
      <c r="W24" s="13">
        <v>0</v>
      </c>
      <c r="X24" s="13">
        <v>0</v>
      </c>
      <c r="Y24" s="13">
        <f t="shared" si="10"/>
        <v>0</v>
      </c>
      <c r="Z24" s="14" t="e">
        <f t="shared" si="11"/>
        <v>#DIV/0!</v>
      </c>
      <c r="AA24" s="16"/>
      <c r="AB24" s="15">
        <f t="shared" si="18"/>
        <v>1170</v>
      </c>
      <c r="AC24" s="15">
        <f t="shared" si="18"/>
        <v>1500</v>
      </c>
      <c r="AD24" s="15">
        <f t="shared" si="14"/>
        <v>-330</v>
      </c>
      <c r="AE24" s="14">
        <f t="shared" si="13"/>
        <v>0.78</v>
      </c>
    </row>
    <row r="25" spans="1:31" ht="30" hidden="1" customHeight="1" x14ac:dyDescent="0.25">
      <c r="A25" s="12"/>
      <c r="B25" s="13" t="s">
        <v>29</v>
      </c>
      <c r="C25" s="13">
        <v>564</v>
      </c>
      <c r="D25" s="13">
        <v>672</v>
      </c>
      <c r="E25" s="13">
        <f t="shared" si="15"/>
        <v>-108</v>
      </c>
      <c r="F25" s="14">
        <f t="shared" si="1"/>
        <v>0.8392857142857143</v>
      </c>
      <c r="G25" s="13">
        <v>582</v>
      </c>
      <c r="H25" s="13">
        <v>672</v>
      </c>
      <c r="I25" s="13">
        <f t="shared" si="16"/>
        <v>-90</v>
      </c>
      <c r="J25" s="14">
        <f t="shared" si="3"/>
        <v>0.8660714285714286</v>
      </c>
      <c r="K25" s="13">
        <v>258</v>
      </c>
      <c r="L25" s="13">
        <v>672</v>
      </c>
      <c r="M25" s="13">
        <f>+K25-L25</f>
        <v>-414</v>
      </c>
      <c r="N25" s="14">
        <f t="shared" si="5"/>
        <v>0.38392857142857145</v>
      </c>
      <c r="O25" s="13">
        <v>768</v>
      </c>
      <c r="P25" s="13">
        <v>672</v>
      </c>
      <c r="Q25" s="13">
        <f t="shared" si="17"/>
        <v>96</v>
      </c>
      <c r="R25" s="14">
        <f t="shared" si="7"/>
        <v>1.1428571428571428</v>
      </c>
      <c r="S25" s="13">
        <v>474</v>
      </c>
      <c r="T25" s="13">
        <v>672</v>
      </c>
      <c r="U25" s="15">
        <f>+S25-T25</f>
        <v>-198</v>
      </c>
      <c r="V25" s="14">
        <f t="shared" si="9"/>
        <v>0.7053571428571429</v>
      </c>
      <c r="W25" s="13">
        <v>0</v>
      </c>
      <c r="X25" s="13">
        <v>0</v>
      </c>
      <c r="Y25" s="13">
        <f t="shared" si="10"/>
        <v>0</v>
      </c>
      <c r="Z25" s="14" t="e">
        <f t="shared" si="11"/>
        <v>#DIV/0!</v>
      </c>
      <c r="AA25" s="16"/>
      <c r="AB25" s="15">
        <f t="shared" si="18"/>
        <v>2646</v>
      </c>
      <c r="AC25" s="15">
        <f t="shared" si="18"/>
        <v>3360</v>
      </c>
      <c r="AD25" s="15">
        <f t="shared" si="14"/>
        <v>-714</v>
      </c>
      <c r="AE25" s="14">
        <f t="shared" si="13"/>
        <v>0.78749999999999998</v>
      </c>
    </row>
    <row r="26" spans="1:31" ht="30" hidden="1" customHeight="1" x14ac:dyDescent="0.25">
      <c r="A26" s="12"/>
      <c r="B26" s="17" t="s">
        <v>22</v>
      </c>
      <c r="C26" s="17">
        <f>SUM(C19:C25)</f>
        <v>2604</v>
      </c>
      <c r="D26" s="17">
        <v>672</v>
      </c>
      <c r="E26" s="17">
        <f>C26-D26</f>
        <v>1932</v>
      </c>
      <c r="F26" s="18">
        <f t="shared" si="1"/>
        <v>3.875</v>
      </c>
      <c r="G26" s="17">
        <f>SUM(G19:G25)</f>
        <v>3006</v>
      </c>
      <c r="H26" s="17">
        <f>SUM(H19:H25)</f>
        <v>3936</v>
      </c>
      <c r="I26" s="17">
        <f>G26-H26</f>
        <v>-930</v>
      </c>
      <c r="J26" s="18">
        <f t="shared" si="3"/>
        <v>0.76371951219512191</v>
      </c>
      <c r="K26" s="17">
        <f>SUM(K19:K25)</f>
        <v>2484</v>
      </c>
      <c r="L26" s="17">
        <f>SUM(L19:L25)</f>
        <v>3963</v>
      </c>
      <c r="M26" s="17">
        <f>+K26-L26</f>
        <v>-1479</v>
      </c>
      <c r="N26" s="18">
        <f t="shared" si="5"/>
        <v>0.62679788039364115</v>
      </c>
      <c r="O26" s="17">
        <f>SUM(O19:O25)</f>
        <v>3582</v>
      </c>
      <c r="P26" s="17">
        <f>SUM(P19:P25)</f>
        <v>3963</v>
      </c>
      <c r="Q26" s="17">
        <f>O26-P26</f>
        <v>-381</v>
      </c>
      <c r="R26" s="18">
        <f t="shared" si="7"/>
        <v>0.90386071158213477</v>
      </c>
      <c r="S26" s="17">
        <f>SUM(S19:S25)</f>
        <v>3000</v>
      </c>
      <c r="T26" s="17">
        <f>SUM(T19:T25)</f>
        <v>3948</v>
      </c>
      <c r="U26" s="17">
        <f>+S26-T26</f>
        <v>-948</v>
      </c>
      <c r="V26" s="18">
        <f t="shared" si="9"/>
        <v>0.75987841945288759</v>
      </c>
      <c r="W26" s="17">
        <f>SUM(W19:W25)</f>
        <v>0</v>
      </c>
      <c r="X26" s="17">
        <f>SUM(X19:X25)</f>
        <v>0</v>
      </c>
      <c r="Y26" s="17">
        <f t="shared" si="10"/>
        <v>0</v>
      </c>
      <c r="Z26" s="18" t="e">
        <f t="shared" si="11"/>
        <v>#DIV/0!</v>
      </c>
      <c r="AA26" s="19">
        <f>SUM(AA19:AA25)</f>
        <v>0</v>
      </c>
      <c r="AB26" s="17">
        <f>SUM(AB19:AB25)</f>
        <v>14676</v>
      </c>
      <c r="AC26" s="17">
        <f>SUM(AC19:AC25)</f>
        <v>19686</v>
      </c>
      <c r="AD26" s="17">
        <f t="shared" si="14"/>
        <v>-5010</v>
      </c>
      <c r="AE26" s="18">
        <f t="shared" si="13"/>
        <v>0.74550441938433409</v>
      </c>
    </row>
    <row r="27" spans="1:31" ht="30" hidden="1" customHeight="1" x14ac:dyDescent="0.25">
      <c r="A27" s="20" t="s">
        <v>30</v>
      </c>
      <c r="B27" s="20"/>
      <c r="C27" s="19">
        <f>SUM(C18,C26)</f>
        <v>9768</v>
      </c>
      <c r="D27" s="19">
        <f>SUM(D18,D26)</f>
        <v>8832</v>
      </c>
      <c r="E27" s="19">
        <f>C27-D27</f>
        <v>936</v>
      </c>
      <c r="F27" s="21">
        <f t="shared" si="1"/>
        <v>1.1059782608695652</v>
      </c>
      <c r="G27" s="19">
        <f>SUM(G18,G26)</f>
        <v>10278</v>
      </c>
      <c r="H27" s="19">
        <f>SUM(H18,H26)</f>
        <v>12096</v>
      </c>
      <c r="I27" s="19">
        <f>G27-H27</f>
        <v>-1818</v>
      </c>
      <c r="J27" s="21">
        <f t="shared" si="3"/>
        <v>0.84970238095238093</v>
      </c>
      <c r="K27" s="19">
        <f>SUM(K18,K26)</f>
        <v>9042</v>
      </c>
      <c r="L27" s="19">
        <f>SUM(L18,L26)</f>
        <v>12123</v>
      </c>
      <c r="M27" s="19">
        <f>K27-L27</f>
        <v>-3081</v>
      </c>
      <c r="N27" s="21">
        <f t="shared" si="5"/>
        <v>0.74585498638950753</v>
      </c>
      <c r="O27" s="19">
        <f>SUM(O18,O26)</f>
        <v>9336</v>
      </c>
      <c r="P27" s="19">
        <f>SUM(P18,P26)</f>
        <v>11835</v>
      </c>
      <c r="Q27" s="19">
        <f>O27-P27</f>
        <v>-2499</v>
      </c>
      <c r="R27" s="21">
        <f t="shared" si="7"/>
        <v>0.78884664131812421</v>
      </c>
      <c r="S27" s="19">
        <f>SUM(S18,S26)</f>
        <v>8208</v>
      </c>
      <c r="T27" s="19">
        <f>SUM(T18,T26)</f>
        <v>11340</v>
      </c>
      <c r="U27" s="19">
        <f>S27-T27</f>
        <v>-3132</v>
      </c>
      <c r="V27" s="21">
        <f t="shared" si="9"/>
        <v>0.72380952380952379</v>
      </c>
      <c r="W27" s="19">
        <f>SUM(W18,W26)</f>
        <v>3282</v>
      </c>
      <c r="X27" s="19">
        <f>SUM(X18,X26)</f>
        <v>4116</v>
      </c>
      <c r="Y27" s="19">
        <f>W27-X27</f>
        <v>-834</v>
      </c>
      <c r="Z27" s="21">
        <f t="shared" si="11"/>
        <v>0.79737609329446069</v>
      </c>
      <c r="AA27" s="19">
        <f>SUM(AA18,AA26)</f>
        <v>0</v>
      </c>
      <c r="AB27" s="19">
        <f>SUM(AB18,AB26)</f>
        <v>49914</v>
      </c>
      <c r="AC27" s="19">
        <f>SUM(AC18,AC26)</f>
        <v>63546</v>
      </c>
      <c r="AD27" s="19">
        <f>AB27-AC27</f>
        <v>-13632</v>
      </c>
      <c r="AE27" s="21">
        <f t="shared" si="13"/>
        <v>0.78547823623831559</v>
      </c>
    </row>
    <row r="28" spans="1:31" ht="30" hidden="1" customHeight="1" x14ac:dyDescent="0.25">
      <c r="A28" s="12" t="s">
        <v>31</v>
      </c>
      <c r="B28" s="13" t="s">
        <v>32</v>
      </c>
      <c r="C28" s="13">
        <v>756</v>
      </c>
      <c r="D28" s="13">
        <v>672</v>
      </c>
      <c r="E28" s="13">
        <f>+C28-D28</f>
        <v>84</v>
      </c>
      <c r="F28" s="14">
        <f t="shared" si="1"/>
        <v>1.125</v>
      </c>
      <c r="G28" s="13">
        <v>750</v>
      </c>
      <c r="H28" s="13">
        <v>672</v>
      </c>
      <c r="I28" s="13">
        <f t="shared" ref="I28:I37" si="19">+G28-H28</f>
        <v>78</v>
      </c>
      <c r="J28" s="14">
        <f t="shared" si="3"/>
        <v>1.1160714285714286</v>
      </c>
      <c r="K28" s="13">
        <v>750</v>
      </c>
      <c r="L28" s="13">
        <v>672</v>
      </c>
      <c r="M28" s="13">
        <f t="shared" ref="M28:M40" si="20">+K28-L28</f>
        <v>78</v>
      </c>
      <c r="N28" s="14">
        <f t="shared" si="5"/>
        <v>1.1160714285714286</v>
      </c>
      <c r="O28" s="13">
        <v>768</v>
      </c>
      <c r="P28" s="13">
        <v>672</v>
      </c>
      <c r="Q28" s="13">
        <f t="shared" ref="Q28:Q37" si="21">+O28-P28</f>
        <v>96</v>
      </c>
      <c r="R28" s="14">
        <f t="shared" si="7"/>
        <v>1.1428571428571428</v>
      </c>
      <c r="S28" s="15">
        <v>714</v>
      </c>
      <c r="T28" s="13">
        <v>672</v>
      </c>
      <c r="U28" s="15">
        <f t="shared" ref="U28:U40" si="22">+S28-T28</f>
        <v>42</v>
      </c>
      <c r="V28" s="14">
        <f t="shared" si="9"/>
        <v>1.0625</v>
      </c>
      <c r="W28" s="13">
        <v>0</v>
      </c>
      <c r="X28" s="13">
        <v>0</v>
      </c>
      <c r="Y28" s="13">
        <f t="shared" ref="Y28:Y37" si="23">+W28-X28</f>
        <v>0</v>
      </c>
      <c r="Z28" s="14" t="e">
        <f t="shared" si="11"/>
        <v>#DIV/0!</v>
      </c>
      <c r="AA28" s="16"/>
      <c r="AB28" s="15">
        <f t="shared" ref="AB28:AC37" si="24">+C28+G28+K28+O28+S28+W28</f>
        <v>3738</v>
      </c>
      <c r="AC28" s="15">
        <f t="shared" si="24"/>
        <v>3360</v>
      </c>
      <c r="AD28" s="15">
        <f t="shared" ref="AD28:AD40" si="25">+AB28-AC28</f>
        <v>378</v>
      </c>
      <c r="AE28" s="14">
        <f t="shared" si="13"/>
        <v>1.1125</v>
      </c>
    </row>
    <row r="29" spans="1:31" ht="30" hidden="1" customHeight="1" x14ac:dyDescent="0.25">
      <c r="A29" s="12"/>
      <c r="B29" s="13" t="s">
        <v>33</v>
      </c>
      <c r="C29" s="13">
        <v>708</v>
      </c>
      <c r="D29" s="13">
        <v>672</v>
      </c>
      <c r="E29" s="13">
        <f>+C29-D29</f>
        <v>36</v>
      </c>
      <c r="F29" s="14">
        <f t="shared" si="1"/>
        <v>1.0535714285714286</v>
      </c>
      <c r="G29" s="13">
        <v>720</v>
      </c>
      <c r="H29" s="13">
        <v>672</v>
      </c>
      <c r="I29" s="13">
        <f t="shared" si="19"/>
        <v>48</v>
      </c>
      <c r="J29" s="14">
        <f t="shared" si="3"/>
        <v>1.0714285714285714</v>
      </c>
      <c r="K29" s="13">
        <v>774</v>
      </c>
      <c r="L29" s="13">
        <v>672</v>
      </c>
      <c r="M29" s="13">
        <f t="shared" si="20"/>
        <v>102</v>
      </c>
      <c r="N29" s="14">
        <f t="shared" si="5"/>
        <v>1.1517857142857142</v>
      </c>
      <c r="O29" s="13">
        <v>774</v>
      </c>
      <c r="P29" s="13">
        <v>672</v>
      </c>
      <c r="Q29" s="13">
        <f t="shared" si="21"/>
        <v>102</v>
      </c>
      <c r="R29" s="14">
        <f t="shared" si="7"/>
        <v>1.1517857142857142</v>
      </c>
      <c r="S29" s="15">
        <v>750</v>
      </c>
      <c r="T29" s="13">
        <v>672</v>
      </c>
      <c r="U29" s="15">
        <f t="shared" si="22"/>
        <v>78</v>
      </c>
      <c r="V29" s="14">
        <f t="shared" si="9"/>
        <v>1.1160714285714286</v>
      </c>
      <c r="W29" s="13">
        <v>0</v>
      </c>
      <c r="X29" s="13">
        <v>0</v>
      </c>
      <c r="Y29" s="13">
        <f t="shared" si="23"/>
        <v>0</v>
      </c>
      <c r="Z29" s="14" t="e">
        <f t="shared" si="11"/>
        <v>#DIV/0!</v>
      </c>
      <c r="AA29" s="16"/>
      <c r="AB29" s="15">
        <f t="shared" si="24"/>
        <v>3726</v>
      </c>
      <c r="AC29" s="15">
        <f t="shared" si="24"/>
        <v>3360</v>
      </c>
      <c r="AD29" s="15">
        <f t="shared" si="25"/>
        <v>366</v>
      </c>
      <c r="AE29" s="14">
        <f t="shared" si="13"/>
        <v>1.1089285714285715</v>
      </c>
    </row>
    <row r="30" spans="1:31" ht="30" hidden="1" customHeight="1" x14ac:dyDescent="0.25">
      <c r="A30" s="12"/>
      <c r="B30" s="13" t="s">
        <v>34</v>
      </c>
      <c r="C30" s="13">
        <v>612</v>
      </c>
      <c r="D30" s="13">
        <v>672</v>
      </c>
      <c r="E30" s="13">
        <f t="shared" ref="E30:E37" si="26">+C30-D30</f>
        <v>-60</v>
      </c>
      <c r="F30" s="14">
        <f t="shared" si="1"/>
        <v>0.9107142857142857</v>
      </c>
      <c r="G30" s="13">
        <v>654</v>
      </c>
      <c r="H30" s="13">
        <v>672</v>
      </c>
      <c r="I30" s="13">
        <f t="shared" si="19"/>
        <v>-18</v>
      </c>
      <c r="J30" s="14">
        <f t="shared" si="3"/>
        <v>0.9732142857142857</v>
      </c>
      <c r="K30" s="13">
        <v>672</v>
      </c>
      <c r="L30" s="13">
        <v>672</v>
      </c>
      <c r="M30" s="13">
        <f t="shared" si="20"/>
        <v>0</v>
      </c>
      <c r="N30" s="14">
        <f t="shared" si="5"/>
        <v>1</v>
      </c>
      <c r="O30" s="13">
        <v>666</v>
      </c>
      <c r="P30" s="13">
        <v>672</v>
      </c>
      <c r="Q30" s="13">
        <f t="shared" si="21"/>
        <v>-6</v>
      </c>
      <c r="R30" s="14">
        <f t="shared" si="7"/>
        <v>0.9910714285714286</v>
      </c>
      <c r="S30" s="15">
        <v>624</v>
      </c>
      <c r="T30" s="13">
        <v>672</v>
      </c>
      <c r="U30" s="15">
        <f t="shared" si="22"/>
        <v>-48</v>
      </c>
      <c r="V30" s="14">
        <f t="shared" si="9"/>
        <v>0.9285714285714286</v>
      </c>
      <c r="W30" s="13">
        <v>0</v>
      </c>
      <c r="X30" s="13">
        <v>0</v>
      </c>
      <c r="Y30" s="13">
        <f t="shared" si="23"/>
        <v>0</v>
      </c>
      <c r="Z30" s="14" t="e">
        <f t="shared" si="11"/>
        <v>#DIV/0!</v>
      </c>
      <c r="AA30" s="16"/>
      <c r="AB30" s="15">
        <f t="shared" si="24"/>
        <v>3228</v>
      </c>
      <c r="AC30" s="15">
        <f t="shared" si="24"/>
        <v>3360</v>
      </c>
      <c r="AD30" s="15">
        <f t="shared" si="25"/>
        <v>-132</v>
      </c>
      <c r="AE30" s="14">
        <f t="shared" si="13"/>
        <v>0.96071428571428574</v>
      </c>
    </row>
    <row r="31" spans="1:31" ht="30" hidden="1" customHeight="1" x14ac:dyDescent="0.25">
      <c r="A31" s="12"/>
      <c r="B31" s="13" t="s">
        <v>35</v>
      </c>
      <c r="C31" s="13">
        <v>804</v>
      </c>
      <c r="D31" s="13">
        <v>768</v>
      </c>
      <c r="E31" s="13">
        <f t="shared" si="26"/>
        <v>36</v>
      </c>
      <c r="F31" s="14">
        <f t="shared" si="1"/>
        <v>1.046875</v>
      </c>
      <c r="G31" s="13">
        <v>786</v>
      </c>
      <c r="H31" s="13">
        <v>768</v>
      </c>
      <c r="I31" s="13">
        <f t="shared" si="19"/>
        <v>18</v>
      </c>
      <c r="J31" s="14">
        <f t="shared" si="3"/>
        <v>1.0234375</v>
      </c>
      <c r="K31" s="13">
        <v>798</v>
      </c>
      <c r="L31" s="13">
        <v>768</v>
      </c>
      <c r="M31" s="13">
        <f t="shared" si="20"/>
        <v>30</v>
      </c>
      <c r="N31" s="14">
        <f t="shared" si="5"/>
        <v>1.0390625</v>
      </c>
      <c r="O31" s="13">
        <v>702</v>
      </c>
      <c r="P31" s="13">
        <v>672</v>
      </c>
      <c r="Q31" s="13">
        <f t="shared" si="21"/>
        <v>30</v>
      </c>
      <c r="R31" s="14">
        <f t="shared" si="7"/>
        <v>1.0446428571428572</v>
      </c>
      <c r="S31" s="15">
        <v>684</v>
      </c>
      <c r="T31" s="13">
        <v>672</v>
      </c>
      <c r="U31" s="15">
        <f t="shared" si="22"/>
        <v>12</v>
      </c>
      <c r="V31" s="14">
        <f t="shared" si="9"/>
        <v>1.0178571428571428</v>
      </c>
      <c r="W31" s="13">
        <v>0</v>
      </c>
      <c r="X31" s="13">
        <v>0</v>
      </c>
      <c r="Y31" s="13">
        <f t="shared" si="23"/>
        <v>0</v>
      </c>
      <c r="Z31" s="14" t="e">
        <f t="shared" si="11"/>
        <v>#DIV/0!</v>
      </c>
      <c r="AA31" s="16"/>
      <c r="AB31" s="15">
        <f t="shared" si="24"/>
        <v>3774</v>
      </c>
      <c r="AC31" s="15">
        <f t="shared" si="24"/>
        <v>3648</v>
      </c>
      <c r="AD31" s="15">
        <f t="shared" si="25"/>
        <v>126</v>
      </c>
      <c r="AE31" s="14">
        <f t="shared" si="13"/>
        <v>1.0345394736842106</v>
      </c>
    </row>
    <row r="32" spans="1:31" ht="30" hidden="1" customHeight="1" x14ac:dyDescent="0.25">
      <c r="A32" s="12"/>
      <c r="B32" s="13" t="s">
        <v>36</v>
      </c>
      <c r="C32" s="13">
        <v>756</v>
      </c>
      <c r="D32" s="13">
        <v>768</v>
      </c>
      <c r="E32" s="13">
        <f t="shared" si="26"/>
        <v>-12</v>
      </c>
      <c r="F32" s="14">
        <f t="shared" si="1"/>
        <v>0.984375</v>
      </c>
      <c r="G32" s="13">
        <v>744</v>
      </c>
      <c r="H32" s="13">
        <v>768</v>
      </c>
      <c r="I32" s="13">
        <f t="shared" si="19"/>
        <v>-24</v>
      </c>
      <c r="J32" s="14">
        <f t="shared" si="3"/>
        <v>0.96875</v>
      </c>
      <c r="K32" s="13">
        <v>804</v>
      </c>
      <c r="L32" s="13">
        <v>768</v>
      </c>
      <c r="M32" s="13">
        <f t="shared" si="20"/>
        <v>36</v>
      </c>
      <c r="N32" s="14">
        <f t="shared" si="5"/>
        <v>1.046875</v>
      </c>
      <c r="O32" s="13">
        <v>786</v>
      </c>
      <c r="P32" s="13">
        <v>768</v>
      </c>
      <c r="Q32" s="13">
        <f t="shared" si="21"/>
        <v>18</v>
      </c>
      <c r="R32" s="14">
        <f t="shared" si="7"/>
        <v>1.0234375</v>
      </c>
      <c r="S32" s="15">
        <v>684</v>
      </c>
      <c r="T32" s="13">
        <v>672</v>
      </c>
      <c r="U32" s="15">
        <f t="shared" si="22"/>
        <v>12</v>
      </c>
      <c r="V32" s="14">
        <f t="shared" si="9"/>
        <v>1.0178571428571428</v>
      </c>
      <c r="W32" s="13">
        <v>0</v>
      </c>
      <c r="X32" s="13">
        <v>0</v>
      </c>
      <c r="Y32" s="13">
        <f t="shared" si="23"/>
        <v>0</v>
      </c>
      <c r="Z32" s="14" t="e">
        <f t="shared" si="11"/>
        <v>#DIV/0!</v>
      </c>
      <c r="AA32" s="16"/>
      <c r="AB32" s="15">
        <f t="shared" si="24"/>
        <v>3774</v>
      </c>
      <c r="AC32" s="15">
        <f t="shared" si="24"/>
        <v>3744</v>
      </c>
      <c r="AD32" s="15">
        <f>+AB32-AC32</f>
        <v>30</v>
      </c>
      <c r="AE32" s="14">
        <f t="shared" si="13"/>
        <v>1.0080128205128205</v>
      </c>
    </row>
    <row r="33" spans="1:31" ht="30" hidden="1" customHeight="1" x14ac:dyDescent="0.25">
      <c r="A33" s="12"/>
      <c r="B33" s="13" t="s">
        <v>37</v>
      </c>
      <c r="C33" s="13">
        <v>732</v>
      </c>
      <c r="D33" s="13">
        <v>768</v>
      </c>
      <c r="E33" s="13">
        <f t="shared" si="26"/>
        <v>-36</v>
      </c>
      <c r="F33" s="14">
        <f t="shared" si="1"/>
        <v>0.953125</v>
      </c>
      <c r="G33" s="13">
        <v>756</v>
      </c>
      <c r="H33" s="13">
        <v>768</v>
      </c>
      <c r="I33" s="13">
        <f t="shared" si="19"/>
        <v>-12</v>
      </c>
      <c r="J33" s="14">
        <f t="shared" si="3"/>
        <v>0.984375</v>
      </c>
      <c r="K33" s="13">
        <v>744</v>
      </c>
      <c r="L33" s="13">
        <v>768</v>
      </c>
      <c r="M33" s="13">
        <f t="shared" si="20"/>
        <v>-24</v>
      </c>
      <c r="N33" s="14">
        <f t="shared" si="5"/>
        <v>0.96875</v>
      </c>
      <c r="O33" s="13">
        <v>636</v>
      </c>
      <c r="P33" s="15">
        <v>672</v>
      </c>
      <c r="Q33" s="13">
        <f t="shared" si="21"/>
        <v>-36</v>
      </c>
      <c r="R33" s="14">
        <f t="shared" si="7"/>
        <v>0.9464285714285714</v>
      </c>
      <c r="S33" s="15">
        <v>648</v>
      </c>
      <c r="T33" s="13">
        <v>672</v>
      </c>
      <c r="U33" s="15">
        <f t="shared" si="22"/>
        <v>-24</v>
      </c>
      <c r="V33" s="14">
        <f t="shared" si="9"/>
        <v>0.9642857142857143</v>
      </c>
      <c r="W33" s="13">
        <v>0</v>
      </c>
      <c r="X33" s="13">
        <v>0</v>
      </c>
      <c r="Y33" s="13">
        <f t="shared" si="23"/>
        <v>0</v>
      </c>
      <c r="Z33" s="14" t="e">
        <f t="shared" si="11"/>
        <v>#DIV/0!</v>
      </c>
      <c r="AA33" s="16"/>
      <c r="AB33" s="15">
        <f t="shared" si="24"/>
        <v>3516</v>
      </c>
      <c r="AC33" s="15">
        <f t="shared" si="24"/>
        <v>3648</v>
      </c>
      <c r="AD33" s="15">
        <f t="shared" si="25"/>
        <v>-132</v>
      </c>
      <c r="AE33" s="14">
        <f t="shared" si="13"/>
        <v>0.96381578947368418</v>
      </c>
    </row>
    <row r="34" spans="1:31" ht="30" hidden="1" customHeight="1" x14ac:dyDescent="0.25">
      <c r="A34" s="12"/>
      <c r="B34" s="13" t="s">
        <v>38</v>
      </c>
      <c r="C34" s="13">
        <v>588</v>
      </c>
      <c r="D34" s="13">
        <v>672</v>
      </c>
      <c r="E34" s="13">
        <f t="shared" si="26"/>
        <v>-84</v>
      </c>
      <c r="F34" s="14">
        <f t="shared" si="1"/>
        <v>0.875</v>
      </c>
      <c r="G34" s="13">
        <v>642</v>
      </c>
      <c r="H34" s="13">
        <v>672</v>
      </c>
      <c r="I34" s="13">
        <f t="shared" si="19"/>
        <v>-30</v>
      </c>
      <c r="J34" s="14">
        <f t="shared" si="3"/>
        <v>0.9553571428571429</v>
      </c>
      <c r="K34" s="13">
        <v>660</v>
      </c>
      <c r="L34" s="13">
        <v>672</v>
      </c>
      <c r="M34" s="13">
        <f t="shared" si="20"/>
        <v>-12</v>
      </c>
      <c r="N34" s="14">
        <f t="shared" si="5"/>
        <v>0.9821428571428571</v>
      </c>
      <c r="O34" s="13">
        <v>600</v>
      </c>
      <c r="P34" s="13">
        <v>672</v>
      </c>
      <c r="Q34" s="13">
        <f t="shared" si="21"/>
        <v>-72</v>
      </c>
      <c r="R34" s="14">
        <f t="shared" si="7"/>
        <v>0.8928571428571429</v>
      </c>
      <c r="S34" s="15">
        <v>648</v>
      </c>
      <c r="T34" s="13">
        <v>672</v>
      </c>
      <c r="U34" s="15">
        <f t="shared" si="22"/>
        <v>-24</v>
      </c>
      <c r="V34" s="14">
        <f t="shared" si="9"/>
        <v>0.9642857142857143</v>
      </c>
      <c r="W34" s="13">
        <v>0</v>
      </c>
      <c r="X34" s="13">
        <v>0</v>
      </c>
      <c r="Y34" s="13">
        <f t="shared" si="23"/>
        <v>0</v>
      </c>
      <c r="Z34" s="14" t="e">
        <f t="shared" si="11"/>
        <v>#DIV/0!</v>
      </c>
      <c r="AA34" s="16"/>
      <c r="AB34" s="15">
        <f t="shared" si="24"/>
        <v>3138</v>
      </c>
      <c r="AC34" s="15">
        <f t="shared" si="24"/>
        <v>3360</v>
      </c>
      <c r="AD34" s="15">
        <f t="shared" si="25"/>
        <v>-222</v>
      </c>
      <c r="AE34" s="14">
        <f t="shared" si="13"/>
        <v>0.93392857142857144</v>
      </c>
    </row>
    <row r="35" spans="1:31" ht="30" hidden="1" customHeight="1" x14ac:dyDescent="0.25">
      <c r="A35" s="12"/>
      <c r="B35" s="13" t="s">
        <v>39</v>
      </c>
      <c r="C35" s="13">
        <v>696</v>
      </c>
      <c r="D35" s="13">
        <v>768</v>
      </c>
      <c r="E35" s="13">
        <f t="shared" si="26"/>
        <v>-72</v>
      </c>
      <c r="F35" s="14">
        <f t="shared" si="1"/>
        <v>0.90625</v>
      </c>
      <c r="G35" s="13">
        <v>564</v>
      </c>
      <c r="H35" s="15">
        <v>768</v>
      </c>
      <c r="I35" s="13">
        <f t="shared" si="19"/>
        <v>-204</v>
      </c>
      <c r="J35" s="14">
        <f t="shared" si="3"/>
        <v>0.734375</v>
      </c>
      <c r="K35" s="13">
        <v>660</v>
      </c>
      <c r="L35" s="13">
        <v>768</v>
      </c>
      <c r="M35" s="13">
        <f t="shared" si="20"/>
        <v>-108</v>
      </c>
      <c r="N35" s="14">
        <f t="shared" si="5"/>
        <v>0.859375</v>
      </c>
      <c r="O35" s="13">
        <v>588</v>
      </c>
      <c r="P35" s="13">
        <v>672</v>
      </c>
      <c r="Q35" s="13">
        <f t="shared" si="21"/>
        <v>-84</v>
      </c>
      <c r="R35" s="14">
        <f t="shared" si="7"/>
        <v>0.875</v>
      </c>
      <c r="S35" s="15">
        <v>600</v>
      </c>
      <c r="T35" s="13">
        <v>672</v>
      </c>
      <c r="U35" s="15">
        <f t="shared" si="22"/>
        <v>-72</v>
      </c>
      <c r="V35" s="14">
        <f t="shared" si="9"/>
        <v>0.8928571428571429</v>
      </c>
      <c r="W35" s="13">
        <v>0</v>
      </c>
      <c r="X35" s="13">
        <v>0</v>
      </c>
      <c r="Y35" s="13">
        <f t="shared" si="23"/>
        <v>0</v>
      </c>
      <c r="Z35" s="14" t="e">
        <f t="shared" si="11"/>
        <v>#DIV/0!</v>
      </c>
      <c r="AA35" s="16"/>
      <c r="AB35" s="15">
        <f t="shared" si="24"/>
        <v>3108</v>
      </c>
      <c r="AC35" s="15">
        <f t="shared" si="24"/>
        <v>3648</v>
      </c>
      <c r="AD35" s="15">
        <f t="shared" si="25"/>
        <v>-540</v>
      </c>
      <c r="AE35" s="14">
        <f t="shared" si="13"/>
        <v>0.85197368421052633</v>
      </c>
    </row>
    <row r="36" spans="1:31" ht="30" hidden="1" customHeight="1" x14ac:dyDescent="0.25">
      <c r="A36" s="12"/>
      <c r="B36" s="13" t="s">
        <v>40</v>
      </c>
      <c r="C36" s="13">
        <v>750</v>
      </c>
      <c r="D36" s="13">
        <v>768</v>
      </c>
      <c r="E36" s="13">
        <f t="shared" si="26"/>
        <v>-18</v>
      </c>
      <c r="F36" s="14">
        <f t="shared" si="1"/>
        <v>0.9765625</v>
      </c>
      <c r="G36" s="13">
        <v>750</v>
      </c>
      <c r="H36" s="13">
        <v>768</v>
      </c>
      <c r="I36" s="13">
        <f t="shared" si="19"/>
        <v>-18</v>
      </c>
      <c r="J36" s="14">
        <f t="shared" si="3"/>
        <v>0.9765625</v>
      </c>
      <c r="K36" s="13">
        <v>738</v>
      </c>
      <c r="L36" s="13">
        <v>768</v>
      </c>
      <c r="M36" s="13">
        <f t="shared" si="20"/>
        <v>-30</v>
      </c>
      <c r="N36" s="14">
        <f t="shared" si="5"/>
        <v>0.9609375</v>
      </c>
      <c r="O36" s="13">
        <v>744</v>
      </c>
      <c r="P36" s="13">
        <v>768</v>
      </c>
      <c r="Q36" s="13">
        <f t="shared" si="21"/>
        <v>-24</v>
      </c>
      <c r="R36" s="14">
        <f t="shared" si="7"/>
        <v>0.96875</v>
      </c>
      <c r="S36" s="15">
        <v>636</v>
      </c>
      <c r="T36" s="13">
        <v>672</v>
      </c>
      <c r="U36" s="15">
        <f t="shared" si="22"/>
        <v>-36</v>
      </c>
      <c r="V36" s="14">
        <f t="shared" si="9"/>
        <v>0.9464285714285714</v>
      </c>
      <c r="W36" s="13">
        <v>0</v>
      </c>
      <c r="X36" s="13">
        <v>0</v>
      </c>
      <c r="Y36" s="13">
        <f t="shared" si="23"/>
        <v>0</v>
      </c>
      <c r="Z36" s="14" t="e">
        <f t="shared" si="11"/>
        <v>#DIV/0!</v>
      </c>
      <c r="AA36" s="16"/>
      <c r="AB36" s="15">
        <f t="shared" si="24"/>
        <v>3618</v>
      </c>
      <c r="AC36" s="15">
        <f t="shared" si="24"/>
        <v>3744</v>
      </c>
      <c r="AD36" s="15">
        <f t="shared" si="25"/>
        <v>-126</v>
      </c>
      <c r="AE36" s="14">
        <f t="shared" si="13"/>
        <v>0.96634615384615385</v>
      </c>
    </row>
    <row r="37" spans="1:31" ht="30" hidden="1" customHeight="1" x14ac:dyDescent="0.25">
      <c r="A37" s="12"/>
      <c r="B37" s="13" t="s">
        <v>41</v>
      </c>
      <c r="C37" s="13">
        <v>657</v>
      </c>
      <c r="D37" s="13">
        <v>672</v>
      </c>
      <c r="E37" s="13">
        <f t="shared" si="26"/>
        <v>-15</v>
      </c>
      <c r="F37" s="14">
        <f t="shared" si="1"/>
        <v>0.9776785714285714</v>
      </c>
      <c r="G37" s="13">
        <v>614</v>
      </c>
      <c r="H37" s="13">
        <v>672</v>
      </c>
      <c r="I37" s="13">
        <f t="shared" si="19"/>
        <v>-58</v>
      </c>
      <c r="J37" s="14">
        <f t="shared" si="3"/>
        <v>0.91369047619047616</v>
      </c>
      <c r="K37" s="13">
        <v>624</v>
      </c>
      <c r="L37" s="13">
        <v>672</v>
      </c>
      <c r="M37" s="13">
        <f t="shared" si="20"/>
        <v>-48</v>
      </c>
      <c r="N37" s="14">
        <f t="shared" si="5"/>
        <v>0.9285714285714286</v>
      </c>
      <c r="O37" s="13">
        <v>625</v>
      </c>
      <c r="P37" s="13">
        <v>672</v>
      </c>
      <c r="Q37" s="13">
        <f t="shared" si="21"/>
        <v>-47</v>
      </c>
      <c r="R37" s="14">
        <f t="shared" si="7"/>
        <v>0.93005952380952384</v>
      </c>
      <c r="S37" s="15">
        <v>636</v>
      </c>
      <c r="T37" s="13">
        <v>672</v>
      </c>
      <c r="U37" s="15">
        <f t="shared" si="22"/>
        <v>-36</v>
      </c>
      <c r="V37" s="14">
        <f t="shared" si="9"/>
        <v>0.9464285714285714</v>
      </c>
      <c r="W37" s="13">
        <v>0</v>
      </c>
      <c r="X37" s="13">
        <v>0</v>
      </c>
      <c r="Y37" s="13">
        <f t="shared" si="23"/>
        <v>0</v>
      </c>
      <c r="Z37" s="14" t="e">
        <f t="shared" si="11"/>
        <v>#DIV/0!</v>
      </c>
      <c r="AA37" s="16"/>
      <c r="AB37" s="15">
        <f t="shared" si="24"/>
        <v>3156</v>
      </c>
      <c r="AC37" s="15">
        <f t="shared" si="24"/>
        <v>3360</v>
      </c>
      <c r="AD37" s="15">
        <f t="shared" si="25"/>
        <v>-204</v>
      </c>
      <c r="AE37" s="14">
        <f t="shared" si="13"/>
        <v>0.93928571428571428</v>
      </c>
    </row>
    <row r="38" spans="1:31" ht="30" hidden="1" customHeight="1" x14ac:dyDescent="0.25">
      <c r="A38" s="12"/>
      <c r="B38" s="17" t="s">
        <v>22</v>
      </c>
      <c r="C38" s="17">
        <f>SUM(C28:C37)</f>
        <v>7059</v>
      </c>
      <c r="D38" s="17">
        <f>SUM(D28:D37)</f>
        <v>7200</v>
      </c>
      <c r="E38" s="17">
        <f>C38-D38</f>
        <v>-141</v>
      </c>
      <c r="F38" s="18">
        <f t="shared" si="1"/>
        <v>0.98041666666666671</v>
      </c>
      <c r="G38" s="17">
        <f>SUM(G28:G37)</f>
        <v>6980</v>
      </c>
      <c r="H38" s="17">
        <f>SUM(H28:H37)</f>
        <v>7200</v>
      </c>
      <c r="I38" s="17">
        <f>G38-H38</f>
        <v>-220</v>
      </c>
      <c r="J38" s="18">
        <f t="shared" si="3"/>
        <v>0.96944444444444444</v>
      </c>
      <c r="K38" s="17">
        <f>SUM(K28:K37)</f>
        <v>7224</v>
      </c>
      <c r="L38" s="17">
        <f>SUM(L28:L37)</f>
        <v>7200</v>
      </c>
      <c r="M38" s="17">
        <f t="shared" si="20"/>
        <v>24</v>
      </c>
      <c r="N38" s="18">
        <f t="shared" si="5"/>
        <v>1.0033333333333334</v>
      </c>
      <c r="O38" s="17">
        <f>SUM(O28:O37)</f>
        <v>6889</v>
      </c>
      <c r="P38" s="17">
        <f>SUM(P28:P37)</f>
        <v>6912</v>
      </c>
      <c r="Q38" s="17">
        <f>O38-P38</f>
        <v>-23</v>
      </c>
      <c r="R38" s="18">
        <f t="shared" si="7"/>
        <v>0.99667245370370372</v>
      </c>
      <c r="S38" s="17">
        <f>SUM(S28:S37)</f>
        <v>6624</v>
      </c>
      <c r="T38" s="17">
        <f>SUM(T28:T37)</f>
        <v>6720</v>
      </c>
      <c r="U38" s="17">
        <f t="shared" si="22"/>
        <v>-96</v>
      </c>
      <c r="V38" s="18">
        <f t="shared" si="9"/>
        <v>0.98571428571428577</v>
      </c>
      <c r="W38" s="17">
        <f>SUM(W28:W37)</f>
        <v>0</v>
      </c>
      <c r="X38" s="17">
        <f>SUM(X28:X37)</f>
        <v>0</v>
      </c>
      <c r="Y38" s="17">
        <f>W38-X38</f>
        <v>0</v>
      </c>
      <c r="Z38" s="18" t="e">
        <f t="shared" si="11"/>
        <v>#DIV/0!</v>
      </c>
      <c r="AA38" s="19">
        <f>SUM(AA28:AA37)</f>
        <v>0</v>
      </c>
      <c r="AB38" s="17">
        <f>SUM(AB28:AB37)</f>
        <v>34776</v>
      </c>
      <c r="AC38" s="17">
        <f>SUM(AC28:AC37)</f>
        <v>35232</v>
      </c>
      <c r="AD38" s="17">
        <f t="shared" si="25"/>
        <v>-456</v>
      </c>
      <c r="AE38" s="18">
        <f t="shared" si="13"/>
        <v>0.98705722070844681</v>
      </c>
    </row>
    <row r="39" spans="1:31" ht="30" hidden="1" customHeight="1" x14ac:dyDescent="0.25">
      <c r="A39" s="12"/>
      <c r="B39" s="13" t="s">
        <v>42</v>
      </c>
      <c r="C39" s="13">
        <v>528</v>
      </c>
      <c r="D39" s="13">
        <v>672</v>
      </c>
      <c r="E39" s="13">
        <f t="shared" ref="E39:E44" si="27">+C39-D39</f>
        <v>-144</v>
      </c>
      <c r="F39" s="14">
        <f t="shared" si="1"/>
        <v>0.7857142857142857</v>
      </c>
      <c r="G39" s="13">
        <v>630</v>
      </c>
      <c r="H39" s="13">
        <v>768</v>
      </c>
      <c r="I39" s="13">
        <f t="shared" ref="I39:I44" si="28">+G39-H39</f>
        <v>-138</v>
      </c>
      <c r="J39" s="14">
        <f t="shared" si="3"/>
        <v>0.8203125</v>
      </c>
      <c r="K39" s="13">
        <v>672</v>
      </c>
      <c r="L39" s="13">
        <v>672</v>
      </c>
      <c r="M39" s="13">
        <f t="shared" si="20"/>
        <v>0</v>
      </c>
      <c r="N39" s="14">
        <f t="shared" si="5"/>
        <v>1</v>
      </c>
      <c r="O39" s="13">
        <v>696</v>
      </c>
      <c r="P39" s="13">
        <v>768</v>
      </c>
      <c r="Q39" s="13">
        <f t="shared" ref="Q39:Q44" si="29">+O39-P39</f>
        <v>-72</v>
      </c>
      <c r="R39" s="14">
        <f t="shared" si="7"/>
        <v>0.90625</v>
      </c>
      <c r="S39" s="15">
        <v>672</v>
      </c>
      <c r="T39" s="13">
        <v>672</v>
      </c>
      <c r="U39" s="15">
        <f t="shared" si="22"/>
        <v>0</v>
      </c>
      <c r="V39" s="14">
        <f t="shared" si="9"/>
        <v>1</v>
      </c>
      <c r="W39" s="13">
        <v>0</v>
      </c>
      <c r="X39" s="13">
        <v>0</v>
      </c>
      <c r="Y39" s="13">
        <f t="shared" ref="Y39:Y44" si="30">+W39-X39</f>
        <v>0</v>
      </c>
      <c r="Z39" s="14" t="e">
        <f t="shared" si="11"/>
        <v>#DIV/0!</v>
      </c>
      <c r="AA39" s="16"/>
      <c r="AB39" s="15">
        <f t="shared" ref="AB39:AC44" si="31">+C39+G39+K39+O39+S39+W39</f>
        <v>3198</v>
      </c>
      <c r="AC39" s="15">
        <f t="shared" si="31"/>
        <v>3552</v>
      </c>
      <c r="AD39" s="15">
        <f t="shared" si="25"/>
        <v>-354</v>
      </c>
      <c r="AE39" s="14">
        <f t="shared" si="13"/>
        <v>0.90033783783783783</v>
      </c>
    </row>
    <row r="40" spans="1:31" ht="30" hidden="1" customHeight="1" x14ac:dyDescent="0.25">
      <c r="A40" s="12"/>
      <c r="B40" s="13" t="s">
        <v>43</v>
      </c>
      <c r="C40" s="13">
        <v>384</v>
      </c>
      <c r="D40" s="15">
        <v>240</v>
      </c>
      <c r="E40" s="13">
        <f t="shared" si="27"/>
        <v>144</v>
      </c>
      <c r="F40" s="14">
        <f t="shared" si="1"/>
        <v>1.6</v>
      </c>
      <c r="G40" s="13">
        <v>456</v>
      </c>
      <c r="H40" s="13">
        <v>405</v>
      </c>
      <c r="I40" s="13">
        <f t="shared" si="28"/>
        <v>51</v>
      </c>
      <c r="J40" s="14">
        <f t="shared" si="3"/>
        <v>1.125925925925926</v>
      </c>
      <c r="K40" s="13">
        <v>504</v>
      </c>
      <c r="L40" s="13">
        <v>408</v>
      </c>
      <c r="M40" s="13">
        <f t="shared" si="20"/>
        <v>96</v>
      </c>
      <c r="N40" s="14">
        <f t="shared" si="5"/>
        <v>1.2352941176470589</v>
      </c>
      <c r="O40" s="13">
        <v>498</v>
      </c>
      <c r="P40" s="15">
        <v>408</v>
      </c>
      <c r="Q40" s="13">
        <f t="shared" si="29"/>
        <v>90</v>
      </c>
      <c r="R40" s="14">
        <f t="shared" si="7"/>
        <v>1.2205882352941178</v>
      </c>
      <c r="S40" s="15">
        <v>384</v>
      </c>
      <c r="T40" s="13">
        <v>360</v>
      </c>
      <c r="U40" s="15">
        <f t="shared" si="22"/>
        <v>24</v>
      </c>
      <c r="V40" s="14">
        <f t="shared" si="9"/>
        <v>1.0666666666666667</v>
      </c>
      <c r="W40" s="13">
        <v>432</v>
      </c>
      <c r="X40" s="13">
        <v>315</v>
      </c>
      <c r="Y40" s="13">
        <f t="shared" si="30"/>
        <v>117</v>
      </c>
      <c r="Z40" s="14">
        <f t="shared" si="11"/>
        <v>1.3714285714285714</v>
      </c>
      <c r="AA40" s="16"/>
      <c r="AB40" s="15">
        <f t="shared" si="31"/>
        <v>2658</v>
      </c>
      <c r="AC40" s="15">
        <f t="shared" si="31"/>
        <v>2136</v>
      </c>
      <c r="AD40" s="15">
        <f t="shared" si="25"/>
        <v>522</v>
      </c>
      <c r="AE40" s="14">
        <f t="shared" si="13"/>
        <v>1.2443820224719102</v>
      </c>
    </row>
    <row r="41" spans="1:31" ht="30" hidden="1" customHeight="1" x14ac:dyDescent="0.25">
      <c r="A41" s="12"/>
      <c r="B41" s="13" t="s">
        <v>44</v>
      </c>
      <c r="C41" s="13">
        <v>414</v>
      </c>
      <c r="D41" s="13">
        <v>456</v>
      </c>
      <c r="E41" s="13">
        <f t="shared" si="27"/>
        <v>-42</v>
      </c>
      <c r="F41" s="14">
        <f t="shared" si="1"/>
        <v>0.90789473684210531</v>
      </c>
      <c r="G41" s="13">
        <v>438</v>
      </c>
      <c r="H41" s="13">
        <v>456</v>
      </c>
      <c r="I41" s="13">
        <f t="shared" si="28"/>
        <v>-18</v>
      </c>
      <c r="J41" s="14">
        <f t="shared" si="3"/>
        <v>0.96052631578947367</v>
      </c>
      <c r="K41" s="13">
        <v>444</v>
      </c>
      <c r="L41" s="13">
        <v>504</v>
      </c>
      <c r="M41" s="13">
        <f>+K41-L41</f>
        <v>-60</v>
      </c>
      <c r="N41" s="14">
        <f t="shared" si="5"/>
        <v>0.88095238095238093</v>
      </c>
      <c r="O41" s="13">
        <v>408</v>
      </c>
      <c r="P41" s="13">
        <v>504</v>
      </c>
      <c r="Q41" s="13">
        <f t="shared" si="29"/>
        <v>-96</v>
      </c>
      <c r="R41" s="14">
        <f t="shared" si="7"/>
        <v>0.80952380952380953</v>
      </c>
      <c r="S41" s="15">
        <v>378</v>
      </c>
      <c r="T41" s="13">
        <v>504</v>
      </c>
      <c r="U41" s="15">
        <f>+S41-T41</f>
        <v>-126</v>
      </c>
      <c r="V41" s="14">
        <f t="shared" si="9"/>
        <v>0.75</v>
      </c>
      <c r="W41" s="13">
        <v>0</v>
      </c>
      <c r="X41" s="13">
        <v>0</v>
      </c>
      <c r="Y41" s="13">
        <f t="shared" si="30"/>
        <v>0</v>
      </c>
      <c r="Z41" s="14" t="e">
        <f t="shared" si="11"/>
        <v>#DIV/0!</v>
      </c>
      <c r="AA41" s="16"/>
      <c r="AB41" s="15">
        <f t="shared" si="31"/>
        <v>2082</v>
      </c>
      <c r="AC41" s="15">
        <f t="shared" si="31"/>
        <v>2424</v>
      </c>
      <c r="AD41" s="15">
        <f>+AB41-AC41</f>
        <v>-342</v>
      </c>
      <c r="AE41" s="14">
        <f t="shared" si="13"/>
        <v>0.8589108910891089</v>
      </c>
    </row>
    <row r="42" spans="1:31" ht="30" hidden="1" customHeight="1" x14ac:dyDescent="0.25">
      <c r="A42" s="12"/>
      <c r="B42" s="13" t="s">
        <v>45</v>
      </c>
      <c r="C42" s="13">
        <v>576</v>
      </c>
      <c r="D42" s="13">
        <v>768</v>
      </c>
      <c r="E42" s="13">
        <f t="shared" si="27"/>
        <v>-192</v>
      </c>
      <c r="F42" s="14">
        <f t="shared" si="1"/>
        <v>0.75</v>
      </c>
      <c r="G42" s="13">
        <v>756</v>
      </c>
      <c r="H42" s="13">
        <v>768</v>
      </c>
      <c r="I42" s="13">
        <f t="shared" si="28"/>
        <v>-12</v>
      </c>
      <c r="J42" s="14">
        <f t="shared" si="3"/>
        <v>0.984375</v>
      </c>
      <c r="K42" s="13">
        <v>690</v>
      </c>
      <c r="L42" s="13">
        <v>768</v>
      </c>
      <c r="M42" s="13">
        <f>+K42-L42</f>
        <v>-78</v>
      </c>
      <c r="N42" s="14">
        <f t="shared" si="5"/>
        <v>0.8984375</v>
      </c>
      <c r="O42" s="13">
        <v>756</v>
      </c>
      <c r="P42" s="13">
        <v>768</v>
      </c>
      <c r="Q42" s="13">
        <f t="shared" si="29"/>
        <v>-12</v>
      </c>
      <c r="R42" s="14">
        <f t="shared" si="7"/>
        <v>0.984375</v>
      </c>
      <c r="S42" s="15">
        <v>588</v>
      </c>
      <c r="T42" s="13">
        <v>672</v>
      </c>
      <c r="U42" s="15">
        <f>+S42-T42</f>
        <v>-84</v>
      </c>
      <c r="V42" s="14">
        <f t="shared" si="9"/>
        <v>0.875</v>
      </c>
      <c r="W42" s="13">
        <v>0</v>
      </c>
      <c r="X42" s="13">
        <v>0</v>
      </c>
      <c r="Y42" s="13">
        <f t="shared" si="30"/>
        <v>0</v>
      </c>
      <c r="Z42" s="14" t="e">
        <f t="shared" si="11"/>
        <v>#DIV/0!</v>
      </c>
      <c r="AA42" s="16"/>
      <c r="AB42" s="15">
        <f t="shared" si="31"/>
        <v>3366</v>
      </c>
      <c r="AC42" s="15">
        <f t="shared" si="31"/>
        <v>3744</v>
      </c>
      <c r="AD42" s="15">
        <f>+AB42-AC42</f>
        <v>-378</v>
      </c>
      <c r="AE42" s="14">
        <f t="shared" si="13"/>
        <v>0.89903846153846156</v>
      </c>
    </row>
    <row r="43" spans="1:31" ht="30" hidden="1" customHeight="1" x14ac:dyDescent="0.25">
      <c r="A43" s="12"/>
      <c r="B43" s="13" t="s">
        <v>46</v>
      </c>
      <c r="C43" s="13">
        <v>672</v>
      </c>
      <c r="D43" s="13">
        <v>768</v>
      </c>
      <c r="E43" s="13">
        <f t="shared" si="27"/>
        <v>-96</v>
      </c>
      <c r="F43" s="14">
        <f t="shared" si="1"/>
        <v>0.875</v>
      </c>
      <c r="G43" s="13">
        <v>564</v>
      </c>
      <c r="H43" s="13">
        <v>672</v>
      </c>
      <c r="I43" s="13">
        <f t="shared" si="28"/>
        <v>-108</v>
      </c>
      <c r="J43" s="14">
        <f t="shared" si="3"/>
        <v>0.8392857142857143</v>
      </c>
      <c r="K43" s="13">
        <v>540</v>
      </c>
      <c r="L43" s="13">
        <v>756</v>
      </c>
      <c r="M43" s="13">
        <f>+K43-L43</f>
        <v>-216</v>
      </c>
      <c r="N43" s="14">
        <f t="shared" si="5"/>
        <v>0.7142857142857143</v>
      </c>
      <c r="O43" s="13">
        <v>618</v>
      </c>
      <c r="P43" s="13">
        <v>768</v>
      </c>
      <c r="Q43" s="13">
        <f t="shared" si="29"/>
        <v>-150</v>
      </c>
      <c r="R43" s="14">
        <f t="shared" si="7"/>
        <v>0.8046875</v>
      </c>
      <c r="S43" s="15">
        <v>552</v>
      </c>
      <c r="T43" s="13">
        <v>672</v>
      </c>
      <c r="U43" s="15">
        <f>+S43-T43</f>
        <v>-120</v>
      </c>
      <c r="V43" s="14">
        <f t="shared" si="9"/>
        <v>0.8214285714285714</v>
      </c>
      <c r="W43" s="13">
        <v>0</v>
      </c>
      <c r="X43" s="13">
        <v>0</v>
      </c>
      <c r="Y43" s="13">
        <f t="shared" si="30"/>
        <v>0</v>
      </c>
      <c r="Z43" s="14" t="e">
        <f t="shared" si="11"/>
        <v>#DIV/0!</v>
      </c>
      <c r="AA43" s="16"/>
      <c r="AB43" s="15">
        <f t="shared" si="31"/>
        <v>2946</v>
      </c>
      <c r="AC43" s="15">
        <f t="shared" si="31"/>
        <v>3636</v>
      </c>
      <c r="AD43" s="15">
        <f>+AB43-AC43</f>
        <v>-690</v>
      </c>
      <c r="AE43" s="14">
        <f t="shared" si="13"/>
        <v>0.81023102310231021</v>
      </c>
    </row>
    <row r="44" spans="1:31" ht="30" hidden="1" customHeight="1" x14ac:dyDescent="0.25">
      <c r="A44" s="12"/>
      <c r="B44" s="13" t="s">
        <v>47</v>
      </c>
      <c r="C44" s="13">
        <v>210</v>
      </c>
      <c r="D44" s="13">
        <v>300</v>
      </c>
      <c r="E44" s="13">
        <f t="shared" si="27"/>
        <v>-90</v>
      </c>
      <c r="F44" s="14">
        <f t="shared" si="1"/>
        <v>0.7</v>
      </c>
      <c r="G44" s="13">
        <v>240</v>
      </c>
      <c r="H44" s="13">
        <v>360</v>
      </c>
      <c r="I44" s="13">
        <f t="shared" si="28"/>
        <v>-120</v>
      </c>
      <c r="J44" s="14">
        <f t="shared" si="3"/>
        <v>0.66666666666666663</v>
      </c>
      <c r="K44" s="13">
        <v>270</v>
      </c>
      <c r="L44" s="13">
        <v>360</v>
      </c>
      <c r="M44" s="13">
        <f>+K44-L44</f>
        <v>-90</v>
      </c>
      <c r="N44" s="14">
        <f t="shared" si="5"/>
        <v>0.75</v>
      </c>
      <c r="O44" s="13">
        <v>252</v>
      </c>
      <c r="P44" s="13">
        <v>360</v>
      </c>
      <c r="Q44" s="13">
        <f t="shared" si="29"/>
        <v>-108</v>
      </c>
      <c r="R44" s="14">
        <f t="shared" si="7"/>
        <v>0.7</v>
      </c>
      <c r="S44" s="15">
        <v>300</v>
      </c>
      <c r="T44" s="13">
        <v>360</v>
      </c>
      <c r="U44" s="15">
        <f>+S44-T44</f>
        <v>-60</v>
      </c>
      <c r="V44" s="14">
        <f t="shared" si="9"/>
        <v>0.83333333333333337</v>
      </c>
      <c r="W44" s="13">
        <v>0</v>
      </c>
      <c r="X44" s="13">
        <v>0</v>
      </c>
      <c r="Y44" s="13">
        <f t="shared" si="30"/>
        <v>0</v>
      </c>
      <c r="Z44" s="14" t="e">
        <f t="shared" si="11"/>
        <v>#DIV/0!</v>
      </c>
      <c r="AA44" s="16"/>
      <c r="AB44" s="15">
        <f t="shared" si="31"/>
        <v>1272</v>
      </c>
      <c r="AC44" s="15">
        <f t="shared" si="31"/>
        <v>1740</v>
      </c>
      <c r="AD44" s="15">
        <f>+AB44-AC44</f>
        <v>-468</v>
      </c>
      <c r="AE44" s="14">
        <f t="shared" si="13"/>
        <v>0.73103448275862071</v>
      </c>
    </row>
    <row r="45" spans="1:31" ht="30" hidden="1" customHeight="1" x14ac:dyDescent="0.25">
      <c r="A45" s="12"/>
      <c r="B45" s="17" t="s">
        <v>22</v>
      </c>
      <c r="C45" s="17">
        <f>SUM(C39:C44)</f>
        <v>2784</v>
      </c>
      <c r="D45" s="17">
        <f>SUM(D39:D44)</f>
        <v>3204</v>
      </c>
      <c r="E45" s="17">
        <f>C45-D45</f>
        <v>-420</v>
      </c>
      <c r="F45" s="18">
        <f t="shared" si="1"/>
        <v>0.86891385767790263</v>
      </c>
      <c r="G45" s="17">
        <f>SUM(G39:G44)</f>
        <v>3084</v>
      </c>
      <c r="H45" s="17">
        <f>SUM(H39:H44)</f>
        <v>3429</v>
      </c>
      <c r="I45" s="17">
        <f>G45-H45</f>
        <v>-345</v>
      </c>
      <c r="J45" s="18">
        <f t="shared" si="3"/>
        <v>0.89938757655293089</v>
      </c>
      <c r="K45" s="17">
        <f>SUM(K39:K44)</f>
        <v>3120</v>
      </c>
      <c r="L45" s="17">
        <f>SUM(L39:L44)</f>
        <v>3468</v>
      </c>
      <c r="M45" s="17">
        <f>+K45-L45</f>
        <v>-348</v>
      </c>
      <c r="N45" s="18">
        <f t="shared" si="5"/>
        <v>0.89965397923875434</v>
      </c>
      <c r="O45" s="17">
        <f>SUM(O39:O44)</f>
        <v>3228</v>
      </c>
      <c r="P45" s="17">
        <f>SUM(P39:P44)</f>
        <v>3576</v>
      </c>
      <c r="Q45" s="17">
        <f>O45-P45</f>
        <v>-348</v>
      </c>
      <c r="R45" s="18">
        <f t="shared" si="7"/>
        <v>0.90268456375838924</v>
      </c>
      <c r="S45" s="17">
        <f>SUM(S39:S44)</f>
        <v>2874</v>
      </c>
      <c r="T45" s="17">
        <f>SUM(T39:T44)</f>
        <v>3240</v>
      </c>
      <c r="U45" s="17">
        <f>+S45-T45</f>
        <v>-366</v>
      </c>
      <c r="V45" s="18">
        <f t="shared" si="9"/>
        <v>0.88703703703703707</v>
      </c>
      <c r="W45" s="17">
        <f>SUM(W39:W44)</f>
        <v>432</v>
      </c>
      <c r="X45" s="17">
        <f>SUM(X39:X44)</f>
        <v>315</v>
      </c>
      <c r="Y45" s="17">
        <f>W45-X45</f>
        <v>117</v>
      </c>
      <c r="Z45" s="18">
        <f t="shared" si="11"/>
        <v>1.3714285714285714</v>
      </c>
      <c r="AA45" s="19">
        <f>SUM(AA39:AA44)</f>
        <v>0</v>
      </c>
      <c r="AB45" s="17">
        <f>SUM(AB39:AB44)</f>
        <v>15522</v>
      </c>
      <c r="AC45" s="17">
        <f>SUM(AC39:AC44)</f>
        <v>17232</v>
      </c>
      <c r="AD45" s="17">
        <f>+AB45-AC45</f>
        <v>-1710</v>
      </c>
      <c r="AE45" s="18">
        <f t="shared" si="13"/>
        <v>0.90076601671309198</v>
      </c>
    </row>
    <row r="46" spans="1:31" ht="30" hidden="1" customHeight="1" x14ac:dyDescent="0.25">
      <c r="A46" s="20" t="s">
        <v>48</v>
      </c>
      <c r="B46" s="20"/>
      <c r="C46" s="19">
        <f>SUM(C38,C45)</f>
        <v>9843</v>
      </c>
      <c r="D46" s="19">
        <f>SUM(D38,D45)</f>
        <v>10404</v>
      </c>
      <c r="E46" s="19">
        <f>C46-D46</f>
        <v>-561</v>
      </c>
      <c r="F46" s="21">
        <f t="shared" si="1"/>
        <v>0.94607843137254899</v>
      </c>
      <c r="G46" s="19">
        <f>SUM(G38,G45)</f>
        <v>10064</v>
      </c>
      <c r="H46" s="19">
        <f>SUM(H38,H45)</f>
        <v>10629</v>
      </c>
      <c r="I46" s="19">
        <f>G46-H46</f>
        <v>-565</v>
      </c>
      <c r="J46" s="21">
        <f t="shared" si="3"/>
        <v>0.94684354125505688</v>
      </c>
      <c r="K46" s="19">
        <f>SUM(K38,K45)</f>
        <v>10344</v>
      </c>
      <c r="L46" s="19">
        <f>SUM(L38,L45)</f>
        <v>10668</v>
      </c>
      <c r="M46" s="19">
        <f>K46-L46</f>
        <v>-324</v>
      </c>
      <c r="N46" s="21">
        <f t="shared" si="5"/>
        <v>0.96962879640044997</v>
      </c>
      <c r="O46" s="19">
        <f>SUM(O38,O45)</f>
        <v>10117</v>
      </c>
      <c r="P46" s="19">
        <f>SUM(P38,P45)</f>
        <v>10488</v>
      </c>
      <c r="Q46" s="19">
        <f>O46-P46</f>
        <v>-371</v>
      </c>
      <c r="R46" s="21">
        <f t="shared" si="7"/>
        <v>0.96462623951182302</v>
      </c>
      <c r="S46" s="19">
        <f>SUM(S38,S45)</f>
        <v>9498</v>
      </c>
      <c r="T46" s="19">
        <f>SUM(T38,T45)</f>
        <v>9960</v>
      </c>
      <c r="U46" s="19">
        <f>S46-T46</f>
        <v>-462</v>
      </c>
      <c r="V46" s="21">
        <f t="shared" si="9"/>
        <v>0.95361445783132526</v>
      </c>
      <c r="W46" s="19">
        <f>SUM(W38,W45)</f>
        <v>432</v>
      </c>
      <c r="X46" s="19">
        <f>SUM(X38,X45)</f>
        <v>315</v>
      </c>
      <c r="Y46" s="19">
        <f>W46-X46</f>
        <v>117</v>
      </c>
      <c r="Z46" s="21">
        <f t="shared" si="11"/>
        <v>1.3714285714285714</v>
      </c>
      <c r="AA46" s="19">
        <f>SUM(AA38,AA45)</f>
        <v>0</v>
      </c>
      <c r="AB46" s="19">
        <f>SUM(AB38,AB45)</f>
        <v>50298</v>
      </c>
      <c r="AC46" s="19">
        <f>SUM(AC38,AC45)</f>
        <v>52464</v>
      </c>
      <c r="AD46" s="19">
        <f>AB46-AC46</f>
        <v>-2166</v>
      </c>
      <c r="AE46" s="21">
        <f t="shared" si="13"/>
        <v>0.95871454711802384</v>
      </c>
    </row>
    <row r="47" spans="1:31" ht="30" hidden="1" customHeight="1" x14ac:dyDescent="0.25">
      <c r="A47" s="22" t="s">
        <v>49</v>
      </c>
      <c r="B47" s="22"/>
      <c r="C47" s="23">
        <f>+C27-C46</f>
        <v>-75</v>
      </c>
      <c r="D47" s="23"/>
      <c r="E47" s="24"/>
      <c r="F47" s="23"/>
      <c r="G47" s="23">
        <f>+G27-G46</f>
        <v>214</v>
      </c>
      <c r="H47" s="23"/>
      <c r="I47" s="24"/>
      <c r="J47" s="23"/>
      <c r="K47" s="23">
        <f>+K27-K46</f>
        <v>-1302</v>
      </c>
      <c r="L47" s="23"/>
      <c r="M47" s="24"/>
      <c r="N47" s="23"/>
      <c r="O47" s="23">
        <f>+O27-O46</f>
        <v>-781</v>
      </c>
      <c r="P47" s="23"/>
      <c r="Q47" s="24"/>
      <c r="R47" s="23"/>
      <c r="S47" s="23">
        <f>+S27-S46</f>
        <v>-1290</v>
      </c>
      <c r="T47" s="23"/>
      <c r="U47" s="24"/>
      <c r="V47" s="23"/>
      <c r="W47" s="23">
        <f>+W27-W46</f>
        <v>2850</v>
      </c>
      <c r="X47" s="23"/>
      <c r="Y47" s="24"/>
      <c r="Z47" s="23"/>
      <c r="AA47" s="23">
        <f>+AA26-AA45</f>
        <v>0</v>
      </c>
      <c r="AB47" s="23">
        <f>+AB27-AB46</f>
        <v>-384</v>
      </c>
      <c r="AC47" s="24"/>
      <c r="AD47" s="24"/>
      <c r="AE47" s="24"/>
    </row>
    <row r="48" spans="1:31" hidden="1" x14ac:dyDescent="0.2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</row>
    <row r="49" spans="1:31" ht="15.75" hidden="1" x14ac:dyDescent="0.25">
      <c r="A49" s="26" t="s">
        <v>50</v>
      </c>
      <c r="B49" s="27" t="s">
        <v>51</v>
      </c>
      <c r="C49" s="27">
        <v>9768</v>
      </c>
      <c r="D49" s="27"/>
      <c r="E49" s="27"/>
      <c r="F49" s="27"/>
      <c r="G49" s="27">
        <v>10278</v>
      </c>
      <c r="H49" s="27"/>
      <c r="I49" s="27"/>
      <c r="J49" s="27"/>
      <c r="K49" s="27">
        <v>9042</v>
      </c>
      <c r="L49" s="27"/>
      <c r="M49" s="27"/>
      <c r="N49" s="27"/>
      <c r="O49" s="27">
        <v>9336</v>
      </c>
      <c r="P49" s="27"/>
      <c r="Q49" s="27"/>
      <c r="R49" s="27"/>
      <c r="S49" s="27">
        <v>8208</v>
      </c>
      <c r="T49" s="27"/>
      <c r="U49" s="27"/>
      <c r="V49" s="27"/>
      <c r="W49" s="27">
        <v>3282</v>
      </c>
      <c r="X49" s="27"/>
      <c r="Y49" s="27"/>
      <c r="Z49" s="27"/>
      <c r="AA49" s="27"/>
      <c r="AB49" s="27">
        <f>SUM(C49:AA49)</f>
        <v>49914</v>
      </c>
      <c r="AC49" s="27"/>
      <c r="AD49" s="27"/>
      <c r="AE49" s="27"/>
    </row>
    <row r="50" spans="1:31" ht="15.75" hidden="1" x14ac:dyDescent="0.25">
      <c r="A50" s="26"/>
      <c r="B50" s="27" t="s">
        <v>52</v>
      </c>
      <c r="C50" s="27">
        <v>9843</v>
      </c>
      <c r="D50" s="27"/>
      <c r="E50" s="27"/>
      <c r="F50" s="27"/>
      <c r="G50" s="27">
        <v>10064</v>
      </c>
      <c r="H50" s="27"/>
      <c r="I50" s="27"/>
      <c r="J50" s="27"/>
      <c r="K50" s="27">
        <v>10344</v>
      </c>
      <c r="L50" s="27"/>
      <c r="M50" s="27"/>
      <c r="N50" s="27"/>
      <c r="O50" s="27">
        <v>10117</v>
      </c>
      <c r="P50" s="27"/>
      <c r="Q50" s="27"/>
      <c r="R50" s="27"/>
      <c r="S50" s="27">
        <v>9498</v>
      </c>
      <c r="T50" s="27"/>
      <c r="U50" s="27"/>
      <c r="V50" s="27"/>
      <c r="W50" s="27">
        <v>432</v>
      </c>
      <c r="X50" s="27"/>
      <c r="Y50" s="27"/>
      <c r="Z50" s="27"/>
      <c r="AA50" s="27"/>
      <c r="AB50" s="27">
        <f>SUM(C50:AA50)</f>
        <v>50298</v>
      </c>
      <c r="AC50" s="27"/>
      <c r="AD50" s="27"/>
      <c r="AE50" s="27"/>
    </row>
    <row r="51" spans="1:31" ht="15.75" hidden="1" x14ac:dyDescent="0.25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</row>
    <row r="52" spans="1:31" ht="15.75" hidden="1" x14ac:dyDescent="0.25">
      <c r="A52" s="27"/>
      <c r="B52" s="27"/>
      <c r="C52" s="27" t="b">
        <f>C27=C49</f>
        <v>1</v>
      </c>
      <c r="D52" s="27"/>
      <c r="E52" s="27"/>
      <c r="F52" s="27"/>
      <c r="G52" s="27" t="b">
        <f>G27=G49</f>
        <v>1</v>
      </c>
      <c r="H52" s="27"/>
      <c r="I52" s="27"/>
      <c r="J52" s="27"/>
      <c r="K52" s="27" t="b">
        <f>K27=K49</f>
        <v>1</v>
      </c>
      <c r="L52" s="27"/>
      <c r="M52" s="27"/>
      <c r="N52" s="27"/>
      <c r="O52" s="27" t="b">
        <f>O27=O49</f>
        <v>1</v>
      </c>
      <c r="P52" s="27"/>
      <c r="Q52" s="27"/>
      <c r="R52" s="27"/>
      <c r="S52" s="27" t="b">
        <f>S27=S49</f>
        <v>1</v>
      </c>
      <c r="T52" s="27"/>
      <c r="U52" s="27"/>
      <c r="V52" s="27"/>
      <c r="W52" s="27" t="b">
        <f>W27=W49</f>
        <v>1</v>
      </c>
      <c r="X52" s="27"/>
      <c r="Y52" s="27"/>
      <c r="Z52" s="27"/>
      <c r="AA52" s="27"/>
      <c r="AB52" s="27" t="b">
        <f>AB49=AB27</f>
        <v>1</v>
      </c>
      <c r="AC52" s="27"/>
      <c r="AD52" s="27"/>
      <c r="AE52" s="27"/>
    </row>
    <row r="53" spans="1:31" ht="15.75" hidden="1" x14ac:dyDescent="0.25">
      <c r="A53" s="27"/>
      <c r="B53" s="27"/>
      <c r="C53" s="27" t="b">
        <f>C50=C46</f>
        <v>1</v>
      </c>
      <c r="D53" s="27"/>
      <c r="E53" s="27"/>
      <c r="F53" s="27"/>
      <c r="G53" s="27" t="b">
        <f>G50=G46</f>
        <v>1</v>
      </c>
      <c r="H53" s="27"/>
      <c r="I53" s="27"/>
      <c r="J53" s="27"/>
      <c r="K53" s="27" t="b">
        <f>K50=K46</f>
        <v>1</v>
      </c>
      <c r="L53" s="27"/>
      <c r="M53" s="27"/>
      <c r="N53" s="27"/>
      <c r="O53" s="27" t="b">
        <f>O50=O46</f>
        <v>1</v>
      </c>
      <c r="P53" s="27"/>
      <c r="Q53" s="27"/>
      <c r="R53" s="27"/>
      <c r="S53" s="27" t="b">
        <f>S50=S46</f>
        <v>1</v>
      </c>
      <c r="T53" s="27"/>
      <c r="U53" s="27"/>
      <c r="V53" s="27"/>
      <c r="W53" s="27" t="b">
        <f>W50=W46</f>
        <v>1</v>
      </c>
      <c r="X53" s="27"/>
      <c r="Y53" s="27"/>
      <c r="Z53" s="27"/>
      <c r="AA53" s="27"/>
      <c r="AB53" s="27" t="b">
        <f>AB50=AB46</f>
        <v>1</v>
      </c>
      <c r="AC53" s="27"/>
      <c r="AD53" s="27"/>
      <c r="AE53" s="27"/>
    </row>
    <row r="55" spans="1:31" ht="21" hidden="1" x14ac:dyDescent="0.25">
      <c r="A55" s="1" t="s">
        <v>0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21" hidden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ht="30" hidden="1" customHeight="1" x14ac:dyDescent="0.25">
      <c r="A57" s="3"/>
      <c r="B57" s="3" t="s">
        <v>1</v>
      </c>
      <c r="C57" s="3" t="s">
        <v>53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 spans="1:31" ht="30" hidden="1" customHeight="1" x14ac:dyDescent="0.25">
      <c r="A58" s="3"/>
      <c r="B58" s="3"/>
      <c r="C58" s="4">
        <v>46244</v>
      </c>
      <c r="D58" s="4"/>
      <c r="E58" s="4"/>
      <c r="F58" s="4"/>
      <c r="G58" s="4">
        <v>46245</v>
      </c>
      <c r="H58" s="4"/>
      <c r="I58" s="4"/>
      <c r="J58" s="4"/>
      <c r="K58" s="4">
        <v>46246</v>
      </c>
      <c r="L58" s="4"/>
      <c r="M58" s="4"/>
      <c r="N58" s="4"/>
      <c r="O58" s="4">
        <v>46247</v>
      </c>
      <c r="P58" s="4"/>
      <c r="Q58" s="4"/>
      <c r="R58" s="4"/>
      <c r="S58" s="4">
        <v>46248</v>
      </c>
      <c r="T58" s="4"/>
      <c r="U58" s="4"/>
      <c r="V58" s="4"/>
      <c r="W58" s="5">
        <v>46249</v>
      </c>
      <c r="X58" s="6"/>
      <c r="Y58" s="6"/>
      <c r="Z58" s="7"/>
      <c r="AA58" s="8"/>
      <c r="AB58" s="9" t="s">
        <v>54</v>
      </c>
      <c r="AC58" s="9"/>
      <c r="AD58" s="9"/>
      <c r="AE58" s="9"/>
    </row>
    <row r="59" spans="1:31" ht="30" hidden="1" customHeight="1" x14ac:dyDescent="0.25">
      <c r="A59" s="3"/>
      <c r="B59" s="3" t="s">
        <v>1</v>
      </c>
      <c r="C59" s="10" t="s">
        <v>4</v>
      </c>
      <c r="D59" s="10" t="s">
        <v>5</v>
      </c>
      <c r="E59" s="10" t="s">
        <v>6</v>
      </c>
      <c r="F59" s="10" t="s">
        <v>7</v>
      </c>
      <c r="G59" s="10" t="s">
        <v>4</v>
      </c>
      <c r="H59" s="10" t="s">
        <v>5</v>
      </c>
      <c r="I59" s="10" t="s">
        <v>6</v>
      </c>
      <c r="J59" s="10" t="s">
        <v>7</v>
      </c>
      <c r="K59" s="10" t="s">
        <v>4</v>
      </c>
      <c r="L59" s="10" t="s">
        <v>5</v>
      </c>
      <c r="M59" s="10" t="s">
        <v>6</v>
      </c>
      <c r="N59" s="10" t="s">
        <v>7</v>
      </c>
      <c r="O59" s="10" t="s">
        <v>4</v>
      </c>
      <c r="P59" s="10" t="s">
        <v>5</v>
      </c>
      <c r="Q59" s="10" t="s">
        <v>6</v>
      </c>
      <c r="R59" s="10" t="s">
        <v>7</v>
      </c>
      <c r="S59" s="10" t="s">
        <v>4</v>
      </c>
      <c r="T59" s="10" t="s">
        <v>5</v>
      </c>
      <c r="U59" s="10" t="s">
        <v>6</v>
      </c>
      <c r="V59" s="10" t="s">
        <v>7</v>
      </c>
      <c r="W59" s="10" t="s">
        <v>4</v>
      </c>
      <c r="X59" s="10" t="s">
        <v>5</v>
      </c>
      <c r="Y59" s="10" t="s">
        <v>6</v>
      </c>
      <c r="Z59" s="10" t="s">
        <v>7</v>
      </c>
      <c r="AA59" s="8"/>
      <c r="AB59" s="11" t="s">
        <v>8</v>
      </c>
      <c r="AC59" s="11" t="s">
        <v>9</v>
      </c>
      <c r="AD59" s="11" t="s">
        <v>6</v>
      </c>
      <c r="AE59" s="11" t="s">
        <v>7</v>
      </c>
    </row>
    <row r="60" spans="1:31" ht="30" hidden="1" customHeight="1" x14ac:dyDescent="0.25">
      <c r="A60" s="12" t="s">
        <v>10</v>
      </c>
      <c r="B60" s="13" t="s">
        <v>11</v>
      </c>
      <c r="C60" s="13">
        <v>744</v>
      </c>
      <c r="D60" s="13">
        <v>768</v>
      </c>
      <c r="E60" s="13">
        <f t="shared" ref="E60:E69" si="32">+C60-D60</f>
        <v>-24</v>
      </c>
      <c r="F60" s="14">
        <f t="shared" ref="F60:F99" si="33">+C60/D60</f>
        <v>0.96875</v>
      </c>
      <c r="G60" s="13">
        <v>726</v>
      </c>
      <c r="H60" s="13">
        <v>768</v>
      </c>
      <c r="I60" s="13">
        <f t="shared" ref="I60:I69" si="34">+G60-H60</f>
        <v>-42</v>
      </c>
      <c r="J60" s="14">
        <f t="shared" ref="J60:J99" si="35">+G60/H60</f>
        <v>0.9453125</v>
      </c>
      <c r="K60" s="13">
        <v>672</v>
      </c>
      <c r="L60" s="13">
        <v>768</v>
      </c>
      <c r="M60" s="13">
        <f t="shared" ref="M60:M76" si="36">+K60-L60</f>
        <v>-96</v>
      </c>
      <c r="N60" s="14">
        <f t="shared" ref="N60:N99" si="37">+K60/L60</f>
        <v>0.875</v>
      </c>
      <c r="O60" s="13">
        <v>708</v>
      </c>
      <c r="P60" s="13">
        <v>768</v>
      </c>
      <c r="Q60" s="13">
        <f t="shared" ref="Q60:Q69" si="38">+O60-P60</f>
        <v>-60</v>
      </c>
      <c r="R60" s="14">
        <f t="shared" ref="R60:R99" si="39">+O60/P60</f>
        <v>0.921875</v>
      </c>
      <c r="S60" s="15">
        <v>552</v>
      </c>
      <c r="T60" s="13">
        <v>672</v>
      </c>
      <c r="U60" s="15">
        <f t="shared" ref="U60:U76" si="40">+S60-T60</f>
        <v>-120</v>
      </c>
      <c r="V60" s="14">
        <f t="shared" ref="V60:V99" si="41">+S60/T60</f>
        <v>0.8214285714285714</v>
      </c>
      <c r="W60" s="13">
        <v>600</v>
      </c>
      <c r="X60" s="13">
        <v>588</v>
      </c>
      <c r="Y60" s="13">
        <f t="shared" ref="Y60:Y79" si="42">+W60-X60</f>
        <v>12</v>
      </c>
      <c r="Z60" s="14">
        <f t="shared" ref="Z60:Z99" si="43">+W60/X60</f>
        <v>1.0204081632653061</v>
      </c>
      <c r="AA60" s="16"/>
      <c r="AB60" s="15">
        <f t="shared" ref="AB60:AC70" si="44">+C60+G60+K60+O60+S60+W60</f>
        <v>4002</v>
      </c>
      <c r="AC60" s="15">
        <f t="shared" si="44"/>
        <v>4332</v>
      </c>
      <c r="AD60" s="15">
        <f>+AB60-AC60</f>
        <v>-330</v>
      </c>
      <c r="AE60" s="14">
        <f t="shared" ref="AE60:AE99" si="45">+AB60/AC60</f>
        <v>0.92382271468144039</v>
      </c>
    </row>
    <row r="61" spans="1:31" ht="30" hidden="1" customHeight="1" x14ac:dyDescent="0.25">
      <c r="A61" s="12"/>
      <c r="B61" s="13" t="s">
        <v>12</v>
      </c>
      <c r="C61" s="13">
        <v>606</v>
      </c>
      <c r="D61" s="13">
        <v>768</v>
      </c>
      <c r="E61" s="13">
        <f t="shared" si="32"/>
        <v>-162</v>
      </c>
      <c r="F61" s="14">
        <f t="shared" si="33"/>
        <v>0.7890625</v>
      </c>
      <c r="G61" s="13">
        <v>594</v>
      </c>
      <c r="H61" s="13">
        <v>768</v>
      </c>
      <c r="I61" s="13">
        <f t="shared" si="34"/>
        <v>-174</v>
      </c>
      <c r="J61" s="14">
        <f t="shared" si="35"/>
        <v>0.7734375</v>
      </c>
      <c r="K61" s="13">
        <v>588</v>
      </c>
      <c r="L61" s="13">
        <v>768</v>
      </c>
      <c r="M61" s="13">
        <f t="shared" si="36"/>
        <v>-180</v>
      </c>
      <c r="N61" s="14">
        <f t="shared" si="37"/>
        <v>0.765625</v>
      </c>
      <c r="O61" s="13">
        <v>612</v>
      </c>
      <c r="P61" s="13">
        <v>768</v>
      </c>
      <c r="Q61" s="13">
        <f t="shared" si="38"/>
        <v>-156</v>
      </c>
      <c r="R61" s="14">
        <f t="shared" si="39"/>
        <v>0.796875</v>
      </c>
      <c r="S61" s="15">
        <v>528</v>
      </c>
      <c r="T61" s="13">
        <v>672</v>
      </c>
      <c r="U61" s="15">
        <f t="shared" si="40"/>
        <v>-144</v>
      </c>
      <c r="V61" s="14">
        <f t="shared" si="41"/>
        <v>0.7857142857142857</v>
      </c>
      <c r="W61" s="13">
        <v>540</v>
      </c>
      <c r="X61" s="13">
        <v>588</v>
      </c>
      <c r="Y61" s="13">
        <f t="shared" si="42"/>
        <v>-48</v>
      </c>
      <c r="Z61" s="14">
        <f t="shared" si="43"/>
        <v>0.91836734693877553</v>
      </c>
      <c r="AA61" s="16"/>
      <c r="AB61" s="15">
        <f t="shared" si="44"/>
        <v>3468</v>
      </c>
      <c r="AC61" s="15">
        <f t="shared" si="44"/>
        <v>4332</v>
      </c>
      <c r="AD61" s="15">
        <f t="shared" ref="AD61:AD79" si="46">+AB61-AC61</f>
        <v>-864</v>
      </c>
      <c r="AE61" s="14">
        <f t="shared" si="45"/>
        <v>0.80055401662049863</v>
      </c>
    </row>
    <row r="62" spans="1:31" ht="30" hidden="1" customHeight="1" x14ac:dyDescent="0.25">
      <c r="A62" s="12"/>
      <c r="B62" s="13" t="s">
        <v>13</v>
      </c>
      <c r="C62" s="13">
        <v>600</v>
      </c>
      <c r="D62" s="13">
        <v>768</v>
      </c>
      <c r="E62" s="13">
        <f t="shared" si="32"/>
        <v>-168</v>
      </c>
      <c r="F62" s="14">
        <f t="shared" si="33"/>
        <v>0.78125</v>
      </c>
      <c r="G62" s="13">
        <v>648</v>
      </c>
      <c r="H62" s="13">
        <v>768</v>
      </c>
      <c r="I62" s="13">
        <f t="shared" si="34"/>
        <v>-120</v>
      </c>
      <c r="J62" s="14">
        <f t="shared" si="35"/>
        <v>0.84375</v>
      </c>
      <c r="K62" s="13">
        <v>606</v>
      </c>
      <c r="L62" s="13">
        <v>768</v>
      </c>
      <c r="M62" s="13">
        <f t="shared" si="36"/>
        <v>-162</v>
      </c>
      <c r="N62" s="14">
        <f t="shared" si="37"/>
        <v>0.7890625</v>
      </c>
      <c r="O62" s="13">
        <v>696</v>
      </c>
      <c r="P62" s="13">
        <v>768</v>
      </c>
      <c r="Q62" s="13">
        <f t="shared" si="38"/>
        <v>-72</v>
      </c>
      <c r="R62" s="14">
        <f t="shared" si="39"/>
        <v>0.90625</v>
      </c>
      <c r="S62" s="15">
        <v>624</v>
      </c>
      <c r="T62" s="13">
        <v>672</v>
      </c>
      <c r="U62" s="15">
        <f t="shared" si="40"/>
        <v>-48</v>
      </c>
      <c r="V62" s="14">
        <f t="shared" si="41"/>
        <v>0.9285714285714286</v>
      </c>
      <c r="W62" s="13">
        <v>0</v>
      </c>
      <c r="X62" s="13"/>
      <c r="Y62" s="13">
        <f t="shared" si="42"/>
        <v>0</v>
      </c>
      <c r="Z62" s="14" t="e">
        <f t="shared" si="43"/>
        <v>#DIV/0!</v>
      </c>
      <c r="AA62" s="16"/>
      <c r="AB62" s="15">
        <f t="shared" si="44"/>
        <v>3174</v>
      </c>
      <c r="AC62" s="15">
        <f t="shared" si="44"/>
        <v>3744</v>
      </c>
      <c r="AD62" s="15">
        <f t="shared" si="46"/>
        <v>-570</v>
      </c>
      <c r="AE62" s="14">
        <f t="shared" si="45"/>
        <v>0.84775641025641024</v>
      </c>
    </row>
    <row r="63" spans="1:31" ht="30" hidden="1" customHeight="1" x14ac:dyDescent="0.25">
      <c r="A63" s="12"/>
      <c r="B63" s="13" t="s">
        <v>14</v>
      </c>
      <c r="C63" s="13">
        <v>564</v>
      </c>
      <c r="D63" s="13">
        <v>768</v>
      </c>
      <c r="E63" s="13">
        <f t="shared" si="32"/>
        <v>-204</v>
      </c>
      <c r="F63" s="14">
        <f t="shared" si="33"/>
        <v>0.734375</v>
      </c>
      <c r="G63" s="13">
        <v>714</v>
      </c>
      <c r="H63" s="13">
        <v>768</v>
      </c>
      <c r="I63" s="13">
        <f t="shared" si="34"/>
        <v>-54</v>
      </c>
      <c r="J63" s="14">
        <f t="shared" si="35"/>
        <v>0.9296875</v>
      </c>
      <c r="K63" s="13">
        <v>468</v>
      </c>
      <c r="L63" s="13">
        <v>768</v>
      </c>
      <c r="M63" s="13">
        <f t="shared" si="36"/>
        <v>-300</v>
      </c>
      <c r="N63" s="14">
        <f t="shared" si="37"/>
        <v>0.609375</v>
      </c>
      <c r="O63" s="13">
        <v>432</v>
      </c>
      <c r="P63" s="13">
        <v>768</v>
      </c>
      <c r="Q63" s="13">
        <f t="shared" si="38"/>
        <v>-336</v>
      </c>
      <c r="R63" s="14">
        <f t="shared" si="39"/>
        <v>0.5625</v>
      </c>
      <c r="S63" s="15">
        <v>672</v>
      </c>
      <c r="T63" s="13">
        <v>672</v>
      </c>
      <c r="U63" s="15">
        <f t="shared" si="40"/>
        <v>0</v>
      </c>
      <c r="V63" s="14">
        <f t="shared" si="41"/>
        <v>1</v>
      </c>
      <c r="W63" s="13">
        <v>552</v>
      </c>
      <c r="X63" s="13">
        <v>588</v>
      </c>
      <c r="Y63" s="13">
        <f t="shared" si="42"/>
        <v>-36</v>
      </c>
      <c r="Z63" s="14">
        <f t="shared" si="43"/>
        <v>0.93877551020408168</v>
      </c>
      <c r="AA63" s="16"/>
      <c r="AB63" s="15">
        <f t="shared" si="44"/>
        <v>3402</v>
      </c>
      <c r="AC63" s="15">
        <f t="shared" si="44"/>
        <v>4332</v>
      </c>
      <c r="AD63" s="15">
        <f t="shared" si="46"/>
        <v>-930</v>
      </c>
      <c r="AE63" s="14">
        <f t="shared" si="45"/>
        <v>0.78531855955678675</v>
      </c>
    </row>
    <row r="64" spans="1:31" ht="30" hidden="1" customHeight="1" x14ac:dyDescent="0.25">
      <c r="A64" s="12"/>
      <c r="B64" s="13" t="s">
        <v>15</v>
      </c>
      <c r="C64" s="13">
        <v>270</v>
      </c>
      <c r="D64" s="13">
        <v>768</v>
      </c>
      <c r="E64" s="13">
        <f t="shared" si="32"/>
        <v>-498</v>
      </c>
      <c r="F64" s="14">
        <f t="shared" si="33"/>
        <v>0.3515625</v>
      </c>
      <c r="G64" s="13">
        <v>366</v>
      </c>
      <c r="H64" s="13">
        <v>768</v>
      </c>
      <c r="I64" s="13">
        <f t="shared" si="34"/>
        <v>-402</v>
      </c>
      <c r="J64" s="14">
        <f t="shared" si="35"/>
        <v>0.4765625</v>
      </c>
      <c r="K64" s="13">
        <v>408</v>
      </c>
      <c r="L64" s="13">
        <v>768</v>
      </c>
      <c r="M64" s="13">
        <f t="shared" si="36"/>
        <v>-360</v>
      </c>
      <c r="N64" s="14">
        <f t="shared" si="37"/>
        <v>0.53125</v>
      </c>
      <c r="O64" s="13">
        <v>546</v>
      </c>
      <c r="P64" s="13">
        <v>768</v>
      </c>
      <c r="Q64" s="13">
        <f t="shared" si="38"/>
        <v>-222</v>
      </c>
      <c r="R64" s="14">
        <f t="shared" si="39"/>
        <v>0.7109375</v>
      </c>
      <c r="S64" s="15">
        <v>390</v>
      </c>
      <c r="T64" s="13">
        <v>672</v>
      </c>
      <c r="U64" s="15">
        <f t="shared" si="40"/>
        <v>-282</v>
      </c>
      <c r="V64" s="14">
        <f t="shared" si="41"/>
        <v>0.5803571428571429</v>
      </c>
      <c r="W64" s="13">
        <v>366</v>
      </c>
      <c r="X64" s="13">
        <v>588</v>
      </c>
      <c r="Y64" s="13">
        <f t="shared" si="42"/>
        <v>-222</v>
      </c>
      <c r="Z64" s="14">
        <f t="shared" si="43"/>
        <v>0.62244897959183676</v>
      </c>
      <c r="AA64" s="16"/>
      <c r="AB64" s="15">
        <f t="shared" si="44"/>
        <v>2346</v>
      </c>
      <c r="AC64" s="15">
        <f t="shared" si="44"/>
        <v>4332</v>
      </c>
      <c r="AD64" s="15">
        <f t="shared" si="46"/>
        <v>-1986</v>
      </c>
      <c r="AE64" s="14">
        <f t="shared" si="45"/>
        <v>0.54155124653739617</v>
      </c>
    </row>
    <row r="65" spans="1:31" ht="30" hidden="1" customHeight="1" x14ac:dyDescent="0.25">
      <c r="A65" s="12"/>
      <c r="B65" s="13" t="s">
        <v>16</v>
      </c>
      <c r="C65" s="13">
        <v>522</v>
      </c>
      <c r="D65" s="13">
        <v>768</v>
      </c>
      <c r="E65" s="13">
        <f t="shared" si="32"/>
        <v>-246</v>
      </c>
      <c r="F65" s="14">
        <f t="shared" si="33"/>
        <v>0.6796875</v>
      </c>
      <c r="G65" s="13">
        <v>492</v>
      </c>
      <c r="H65" s="13">
        <v>768</v>
      </c>
      <c r="I65" s="13">
        <f t="shared" si="34"/>
        <v>-276</v>
      </c>
      <c r="J65" s="14">
        <f t="shared" si="35"/>
        <v>0.640625</v>
      </c>
      <c r="K65" s="13">
        <v>534</v>
      </c>
      <c r="L65" s="13">
        <v>768</v>
      </c>
      <c r="M65" s="13">
        <f t="shared" si="36"/>
        <v>-234</v>
      </c>
      <c r="N65" s="14">
        <f t="shared" si="37"/>
        <v>0.6953125</v>
      </c>
      <c r="O65" s="13">
        <v>378</v>
      </c>
      <c r="P65" s="13">
        <v>768</v>
      </c>
      <c r="Q65" s="13">
        <f t="shared" si="38"/>
        <v>-390</v>
      </c>
      <c r="R65" s="14">
        <f t="shared" si="39"/>
        <v>0.4921875</v>
      </c>
      <c r="S65" s="15">
        <v>594</v>
      </c>
      <c r="T65" s="13">
        <v>672</v>
      </c>
      <c r="U65" s="15">
        <f t="shared" si="40"/>
        <v>-78</v>
      </c>
      <c r="V65" s="14">
        <f t="shared" si="41"/>
        <v>0.8839285714285714</v>
      </c>
      <c r="W65" s="13">
        <v>486</v>
      </c>
      <c r="X65" s="13">
        <v>588</v>
      </c>
      <c r="Y65" s="13">
        <f t="shared" si="42"/>
        <v>-102</v>
      </c>
      <c r="Z65" s="14">
        <f t="shared" si="43"/>
        <v>0.82653061224489799</v>
      </c>
      <c r="AA65" s="16"/>
      <c r="AB65" s="15">
        <f t="shared" si="44"/>
        <v>3006</v>
      </c>
      <c r="AC65" s="15">
        <f t="shared" si="44"/>
        <v>4332</v>
      </c>
      <c r="AD65" s="15">
        <f t="shared" si="46"/>
        <v>-1326</v>
      </c>
      <c r="AE65" s="14">
        <f t="shared" si="45"/>
        <v>0.69390581717451527</v>
      </c>
    </row>
    <row r="66" spans="1:31" ht="30" hidden="1" customHeight="1" x14ac:dyDescent="0.25">
      <c r="A66" s="12"/>
      <c r="B66" s="13" t="s">
        <v>17</v>
      </c>
      <c r="C66" s="13">
        <v>810</v>
      </c>
      <c r="D66" s="13">
        <v>672</v>
      </c>
      <c r="E66" s="13">
        <f t="shared" si="32"/>
        <v>138</v>
      </c>
      <c r="F66" s="14">
        <f t="shared" si="33"/>
        <v>1.2053571428571428</v>
      </c>
      <c r="G66" s="13">
        <v>684</v>
      </c>
      <c r="H66" s="13">
        <v>672</v>
      </c>
      <c r="I66" s="13">
        <f t="shared" si="34"/>
        <v>12</v>
      </c>
      <c r="J66" s="14">
        <f t="shared" si="35"/>
        <v>1.0178571428571428</v>
      </c>
      <c r="K66" s="13">
        <v>690</v>
      </c>
      <c r="L66" s="13">
        <v>672</v>
      </c>
      <c r="M66" s="13">
        <f t="shared" si="36"/>
        <v>18</v>
      </c>
      <c r="N66" s="14">
        <f t="shared" si="37"/>
        <v>1.0267857142857142</v>
      </c>
      <c r="O66" s="13">
        <v>702</v>
      </c>
      <c r="P66" s="15">
        <v>768</v>
      </c>
      <c r="Q66" s="13">
        <f t="shared" si="38"/>
        <v>-66</v>
      </c>
      <c r="R66" s="14">
        <f t="shared" si="39"/>
        <v>0.9140625</v>
      </c>
      <c r="S66" s="15">
        <v>690</v>
      </c>
      <c r="T66" s="13">
        <v>672</v>
      </c>
      <c r="U66" s="15">
        <f t="shared" si="40"/>
        <v>18</v>
      </c>
      <c r="V66" s="14">
        <f t="shared" si="41"/>
        <v>1.0267857142857142</v>
      </c>
      <c r="W66" s="13">
        <v>0</v>
      </c>
      <c r="X66" s="13"/>
      <c r="Y66" s="13">
        <f t="shared" si="42"/>
        <v>0</v>
      </c>
      <c r="Z66" s="14" t="e">
        <f t="shared" si="43"/>
        <v>#DIV/0!</v>
      </c>
      <c r="AA66" s="16"/>
      <c r="AB66" s="15">
        <f t="shared" si="44"/>
        <v>3576</v>
      </c>
      <c r="AC66" s="15">
        <f t="shared" si="44"/>
        <v>3456</v>
      </c>
      <c r="AD66" s="15">
        <f t="shared" si="46"/>
        <v>120</v>
      </c>
      <c r="AE66" s="14">
        <f t="shared" si="45"/>
        <v>1.0347222222222223</v>
      </c>
    </row>
    <row r="67" spans="1:31" ht="30" hidden="1" customHeight="1" x14ac:dyDescent="0.25">
      <c r="A67" s="12"/>
      <c r="B67" s="13" t="s">
        <v>18</v>
      </c>
      <c r="C67" s="13">
        <v>588</v>
      </c>
      <c r="D67" s="13">
        <v>768</v>
      </c>
      <c r="E67" s="13">
        <f t="shared" si="32"/>
        <v>-180</v>
      </c>
      <c r="F67" s="14">
        <f t="shared" si="33"/>
        <v>0.765625</v>
      </c>
      <c r="G67" s="13">
        <v>361</v>
      </c>
      <c r="H67" s="13">
        <v>672</v>
      </c>
      <c r="I67" s="13">
        <f t="shared" si="34"/>
        <v>-311</v>
      </c>
      <c r="J67" s="14">
        <f t="shared" si="35"/>
        <v>0.53720238095238093</v>
      </c>
      <c r="K67" s="13">
        <v>204</v>
      </c>
      <c r="L67" s="13">
        <v>768</v>
      </c>
      <c r="M67" s="13">
        <f t="shared" si="36"/>
        <v>-564</v>
      </c>
      <c r="N67" s="14">
        <f t="shared" si="37"/>
        <v>0.265625</v>
      </c>
      <c r="O67" s="13">
        <v>311</v>
      </c>
      <c r="P67" s="13">
        <v>768</v>
      </c>
      <c r="Q67" s="13">
        <f t="shared" si="38"/>
        <v>-457</v>
      </c>
      <c r="R67" s="14">
        <f t="shared" si="39"/>
        <v>0.40494791666666669</v>
      </c>
      <c r="S67" s="15">
        <v>294</v>
      </c>
      <c r="T67" s="13">
        <v>672</v>
      </c>
      <c r="U67" s="15">
        <f t="shared" si="40"/>
        <v>-378</v>
      </c>
      <c r="V67" s="14">
        <f t="shared" si="41"/>
        <v>0.4375</v>
      </c>
      <c r="W67" s="13">
        <v>372</v>
      </c>
      <c r="X67" s="13">
        <v>588</v>
      </c>
      <c r="Y67" s="13">
        <f t="shared" si="42"/>
        <v>-216</v>
      </c>
      <c r="Z67" s="14">
        <f t="shared" si="43"/>
        <v>0.63265306122448983</v>
      </c>
      <c r="AA67" s="16"/>
      <c r="AB67" s="15">
        <f t="shared" si="44"/>
        <v>2130</v>
      </c>
      <c r="AC67" s="15">
        <f t="shared" si="44"/>
        <v>4236</v>
      </c>
      <c r="AD67" s="15">
        <f t="shared" si="46"/>
        <v>-2106</v>
      </c>
      <c r="AE67" s="14">
        <f t="shared" si="45"/>
        <v>0.50283286118980175</v>
      </c>
    </row>
    <row r="68" spans="1:31" ht="30" hidden="1" customHeight="1" x14ac:dyDescent="0.25">
      <c r="A68" s="12"/>
      <c r="B68" s="13" t="s">
        <v>19</v>
      </c>
      <c r="C68" s="13">
        <v>624</v>
      </c>
      <c r="D68" s="13">
        <v>672</v>
      </c>
      <c r="E68" s="13">
        <f t="shared" si="32"/>
        <v>-48</v>
      </c>
      <c r="F68" s="14">
        <f t="shared" si="33"/>
        <v>0.9285714285714286</v>
      </c>
      <c r="G68" s="13">
        <v>492</v>
      </c>
      <c r="H68" s="13">
        <v>672</v>
      </c>
      <c r="I68" s="13">
        <f t="shared" si="34"/>
        <v>-180</v>
      </c>
      <c r="J68" s="14">
        <f t="shared" si="35"/>
        <v>0.7321428571428571</v>
      </c>
      <c r="K68" s="13">
        <v>588</v>
      </c>
      <c r="L68" s="13">
        <v>672</v>
      </c>
      <c r="M68" s="13">
        <f t="shared" si="36"/>
        <v>-84</v>
      </c>
      <c r="N68" s="14">
        <f t="shared" si="37"/>
        <v>0.875</v>
      </c>
      <c r="O68" s="13">
        <v>648</v>
      </c>
      <c r="P68" s="13">
        <v>768</v>
      </c>
      <c r="Q68" s="13">
        <f t="shared" si="38"/>
        <v>-120</v>
      </c>
      <c r="R68" s="14">
        <f t="shared" si="39"/>
        <v>0.84375</v>
      </c>
      <c r="S68" s="15">
        <v>408</v>
      </c>
      <c r="T68" s="13">
        <v>672</v>
      </c>
      <c r="U68" s="15">
        <f t="shared" si="40"/>
        <v>-264</v>
      </c>
      <c r="V68" s="14">
        <f t="shared" si="41"/>
        <v>0.6071428571428571</v>
      </c>
      <c r="W68" s="13">
        <v>516</v>
      </c>
      <c r="X68" s="13">
        <v>588</v>
      </c>
      <c r="Y68" s="13">
        <f t="shared" si="42"/>
        <v>-72</v>
      </c>
      <c r="Z68" s="14">
        <f t="shared" si="43"/>
        <v>0.87755102040816324</v>
      </c>
      <c r="AA68" s="16"/>
      <c r="AB68" s="15">
        <f t="shared" si="44"/>
        <v>3276</v>
      </c>
      <c r="AC68" s="15">
        <f t="shared" si="44"/>
        <v>4044</v>
      </c>
      <c r="AD68" s="15">
        <f t="shared" si="46"/>
        <v>-768</v>
      </c>
      <c r="AE68" s="14">
        <f t="shared" si="45"/>
        <v>0.81008902077151335</v>
      </c>
    </row>
    <row r="69" spans="1:31" ht="30" hidden="1" customHeight="1" x14ac:dyDescent="0.25">
      <c r="A69" s="12"/>
      <c r="B69" s="13" t="s">
        <v>20</v>
      </c>
      <c r="C69" s="13">
        <v>672</v>
      </c>
      <c r="D69" s="13">
        <v>672</v>
      </c>
      <c r="E69" s="13">
        <f t="shared" si="32"/>
        <v>0</v>
      </c>
      <c r="F69" s="14">
        <f t="shared" si="33"/>
        <v>1</v>
      </c>
      <c r="G69" s="13">
        <v>630</v>
      </c>
      <c r="H69" s="13">
        <v>672</v>
      </c>
      <c r="I69" s="13">
        <f t="shared" si="34"/>
        <v>-42</v>
      </c>
      <c r="J69" s="14">
        <f t="shared" si="35"/>
        <v>0.9375</v>
      </c>
      <c r="K69" s="13">
        <v>654</v>
      </c>
      <c r="L69" s="13">
        <v>768</v>
      </c>
      <c r="M69" s="13">
        <f t="shared" si="36"/>
        <v>-114</v>
      </c>
      <c r="N69" s="14">
        <f t="shared" si="37"/>
        <v>0.8515625</v>
      </c>
      <c r="O69" s="13">
        <v>660</v>
      </c>
      <c r="P69" s="13">
        <v>768</v>
      </c>
      <c r="Q69" s="13">
        <f t="shared" si="38"/>
        <v>-108</v>
      </c>
      <c r="R69" s="14">
        <f t="shared" si="39"/>
        <v>0.859375</v>
      </c>
      <c r="S69" s="15">
        <v>426</v>
      </c>
      <c r="T69" s="13">
        <v>672</v>
      </c>
      <c r="U69" s="15">
        <f t="shared" si="40"/>
        <v>-246</v>
      </c>
      <c r="V69" s="14">
        <f t="shared" si="41"/>
        <v>0.6339285714285714</v>
      </c>
      <c r="W69" s="13">
        <v>498</v>
      </c>
      <c r="X69" s="13">
        <v>588</v>
      </c>
      <c r="Y69" s="13">
        <f t="shared" si="42"/>
        <v>-90</v>
      </c>
      <c r="Z69" s="14">
        <f t="shared" si="43"/>
        <v>0.84693877551020413</v>
      </c>
      <c r="AA69" s="16"/>
      <c r="AB69" s="15">
        <f t="shared" si="44"/>
        <v>3540</v>
      </c>
      <c r="AC69" s="15">
        <f t="shared" si="44"/>
        <v>4140</v>
      </c>
      <c r="AD69" s="15">
        <f t="shared" si="46"/>
        <v>-600</v>
      </c>
      <c r="AE69" s="14">
        <f t="shared" si="45"/>
        <v>0.85507246376811596</v>
      </c>
    </row>
    <row r="70" spans="1:31" ht="30" hidden="1" customHeight="1" x14ac:dyDescent="0.25">
      <c r="A70" s="12"/>
      <c r="B70" s="13" t="s">
        <v>21</v>
      </c>
      <c r="C70" s="13">
        <v>366</v>
      </c>
      <c r="D70" s="13">
        <v>672</v>
      </c>
      <c r="E70" s="13">
        <f>+C70-D70</f>
        <v>-306</v>
      </c>
      <c r="F70" s="14">
        <f t="shared" si="33"/>
        <v>0.5446428571428571</v>
      </c>
      <c r="G70" s="13">
        <v>396</v>
      </c>
      <c r="H70" s="13">
        <v>672</v>
      </c>
      <c r="I70" s="13">
        <f>+G70-H70</f>
        <v>-276</v>
      </c>
      <c r="J70" s="14">
        <f t="shared" si="35"/>
        <v>0.5892857142857143</v>
      </c>
      <c r="K70" s="13">
        <v>456</v>
      </c>
      <c r="L70" s="13">
        <v>672</v>
      </c>
      <c r="M70" s="13">
        <f t="shared" si="36"/>
        <v>-216</v>
      </c>
      <c r="N70" s="14">
        <f t="shared" si="37"/>
        <v>0.6785714285714286</v>
      </c>
      <c r="O70" s="13">
        <v>432</v>
      </c>
      <c r="P70" s="13">
        <v>672</v>
      </c>
      <c r="Q70" s="13">
        <f>+O70-P70</f>
        <v>-240</v>
      </c>
      <c r="R70" s="14">
        <f t="shared" si="39"/>
        <v>0.6428571428571429</v>
      </c>
      <c r="S70" s="13">
        <v>330</v>
      </c>
      <c r="T70" s="13">
        <v>672</v>
      </c>
      <c r="U70" s="15">
        <f t="shared" si="40"/>
        <v>-342</v>
      </c>
      <c r="V70" s="14">
        <f t="shared" si="41"/>
        <v>0.49107142857142855</v>
      </c>
      <c r="W70" s="13">
        <v>24</v>
      </c>
      <c r="X70" s="13"/>
      <c r="Y70" s="13">
        <f t="shared" si="42"/>
        <v>24</v>
      </c>
      <c r="Z70" s="14" t="e">
        <f t="shared" si="43"/>
        <v>#DIV/0!</v>
      </c>
      <c r="AA70" s="16"/>
      <c r="AB70" s="15">
        <f t="shared" si="44"/>
        <v>2004</v>
      </c>
      <c r="AC70" s="15">
        <f t="shared" si="44"/>
        <v>3360</v>
      </c>
      <c r="AD70" s="15">
        <f t="shared" si="46"/>
        <v>-1356</v>
      </c>
      <c r="AE70" s="14">
        <f t="shared" si="45"/>
        <v>0.59642857142857142</v>
      </c>
    </row>
    <row r="71" spans="1:31" ht="30" hidden="1" customHeight="1" x14ac:dyDescent="0.25">
      <c r="A71" s="12"/>
      <c r="B71" s="17" t="s">
        <v>22</v>
      </c>
      <c r="C71" s="17">
        <f>SUM(C60:C70)</f>
        <v>6366</v>
      </c>
      <c r="D71" s="17">
        <f>SUM(D60:D70)</f>
        <v>8064</v>
      </c>
      <c r="E71" s="17">
        <f>C71-D71</f>
        <v>-1698</v>
      </c>
      <c r="F71" s="18">
        <f t="shared" si="33"/>
        <v>0.78943452380952384</v>
      </c>
      <c r="G71" s="17">
        <f>SUM(G60:G70)</f>
        <v>6103</v>
      </c>
      <c r="H71" s="17">
        <f>SUM(H60:H70)</f>
        <v>7968</v>
      </c>
      <c r="I71" s="17">
        <f>G71-H71</f>
        <v>-1865</v>
      </c>
      <c r="J71" s="18">
        <f t="shared" si="35"/>
        <v>0.76593875502008035</v>
      </c>
      <c r="K71" s="17">
        <f>SUM(K60:K70)</f>
        <v>5868</v>
      </c>
      <c r="L71" s="17">
        <f>SUM(L60:L70)</f>
        <v>8160</v>
      </c>
      <c r="M71" s="17">
        <f t="shared" si="36"/>
        <v>-2292</v>
      </c>
      <c r="N71" s="18">
        <f t="shared" si="37"/>
        <v>0.71911764705882353</v>
      </c>
      <c r="O71" s="17">
        <f>SUM(O60:O70)</f>
        <v>6125</v>
      </c>
      <c r="P71" s="17">
        <f>SUM(P60:P70)</f>
        <v>8352</v>
      </c>
      <c r="Q71" s="17">
        <f>O71-P71</f>
        <v>-2227</v>
      </c>
      <c r="R71" s="18">
        <f t="shared" si="39"/>
        <v>0.73335727969348663</v>
      </c>
      <c r="S71" s="17">
        <f>SUM(S60:S70)</f>
        <v>5508</v>
      </c>
      <c r="T71" s="17">
        <f>SUM(T60:T70)</f>
        <v>7392</v>
      </c>
      <c r="U71" s="17">
        <f t="shared" si="40"/>
        <v>-1884</v>
      </c>
      <c r="V71" s="18">
        <f t="shared" si="41"/>
        <v>0.74512987012987009</v>
      </c>
      <c r="W71" s="17">
        <f>SUM(W60:W70)</f>
        <v>3954</v>
      </c>
      <c r="X71" s="17">
        <f>SUM(X60:X70)</f>
        <v>4704</v>
      </c>
      <c r="Y71" s="17">
        <f t="shared" si="42"/>
        <v>-750</v>
      </c>
      <c r="Z71" s="18">
        <f t="shared" si="43"/>
        <v>0.84056122448979587</v>
      </c>
      <c r="AA71" s="19">
        <f>SUM(AA60:AA70)</f>
        <v>0</v>
      </c>
      <c r="AB71" s="17">
        <f>SUM(AB60:AB70)</f>
        <v>33924</v>
      </c>
      <c r="AC71" s="17">
        <f>SUM(AC60:AC70)</f>
        <v>44640</v>
      </c>
      <c r="AD71" s="17">
        <f t="shared" si="46"/>
        <v>-10716</v>
      </c>
      <c r="AE71" s="18">
        <f t="shared" si="45"/>
        <v>0.75994623655913973</v>
      </c>
    </row>
    <row r="72" spans="1:31" ht="30" hidden="1" customHeight="1" x14ac:dyDescent="0.25">
      <c r="A72" s="12"/>
      <c r="B72" s="13" t="s">
        <v>23</v>
      </c>
      <c r="C72" s="13">
        <v>762</v>
      </c>
      <c r="D72" s="13">
        <v>768</v>
      </c>
      <c r="E72" s="13">
        <f t="shared" ref="E72:E78" si="47">+C72-D72</f>
        <v>-6</v>
      </c>
      <c r="F72" s="14">
        <f t="shared" si="33"/>
        <v>0.9921875</v>
      </c>
      <c r="G72" s="13">
        <v>756</v>
      </c>
      <c r="H72" s="13">
        <v>672</v>
      </c>
      <c r="I72" s="13">
        <f t="shared" ref="I72:I78" si="48">+G72-H72</f>
        <v>84</v>
      </c>
      <c r="J72" s="14">
        <f t="shared" si="35"/>
        <v>1.125</v>
      </c>
      <c r="K72" s="13">
        <v>678</v>
      </c>
      <c r="L72" s="13">
        <v>768</v>
      </c>
      <c r="M72" s="13">
        <f t="shared" si="36"/>
        <v>-90</v>
      </c>
      <c r="N72" s="14">
        <f t="shared" si="37"/>
        <v>0.8828125</v>
      </c>
      <c r="O72" s="13">
        <v>672</v>
      </c>
      <c r="P72" s="13">
        <v>672</v>
      </c>
      <c r="Q72" s="13">
        <f t="shared" ref="Q72:Q78" si="49">+O72-P72</f>
        <v>0</v>
      </c>
      <c r="R72" s="14">
        <f t="shared" si="39"/>
        <v>1</v>
      </c>
      <c r="S72" s="15">
        <v>672</v>
      </c>
      <c r="T72" s="13">
        <v>672</v>
      </c>
      <c r="U72" s="15">
        <f t="shared" si="40"/>
        <v>0</v>
      </c>
      <c r="V72" s="14">
        <f t="shared" si="41"/>
        <v>1</v>
      </c>
      <c r="W72" s="13">
        <v>0</v>
      </c>
      <c r="X72" s="13"/>
      <c r="Y72" s="13">
        <f t="shared" si="42"/>
        <v>0</v>
      </c>
      <c r="Z72" s="14" t="e">
        <f t="shared" si="43"/>
        <v>#DIV/0!</v>
      </c>
      <c r="AA72" s="16"/>
      <c r="AB72" s="15">
        <f t="shared" ref="AB72:AC78" si="50">+C72+G72+K72+O72+S72+W72</f>
        <v>3540</v>
      </c>
      <c r="AC72" s="15">
        <f t="shared" si="50"/>
        <v>3552</v>
      </c>
      <c r="AD72" s="15">
        <f t="shared" si="46"/>
        <v>-12</v>
      </c>
      <c r="AE72" s="14">
        <f t="shared" si="45"/>
        <v>0.9966216216216216</v>
      </c>
    </row>
    <row r="73" spans="1:31" ht="30" hidden="1" customHeight="1" x14ac:dyDescent="0.25">
      <c r="A73" s="12"/>
      <c r="B73" s="13" t="s">
        <v>24</v>
      </c>
      <c r="C73" s="13">
        <v>552</v>
      </c>
      <c r="D73" s="13">
        <v>567</v>
      </c>
      <c r="E73" s="13">
        <f t="shared" si="47"/>
        <v>-15</v>
      </c>
      <c r="F73" s="14">
        <f t="shared" si="33"/>
        <v>0.97354497354497349</v>
      </c>
      <c r="G73" s="13">
        <v>540</v>
      </c>
      <c r="H73" s="15">
        <v>607.5</v>
      </c>
      <c r="I73" s="13">
        <f t="shared" si="48"/>
        <v>-67.5</v>
      </c>
      <c r="J73" s="14">
        <f t="shared" si="35"/>
        <v>0.88888888888888884</v>
      </c>
      <c r="K73" s="13">
        <v>540</v>
      </c>
      <c r="L73" s="15">
        <v>607.5</v>
      </c>
      <c r="M73" s="13">
        <f t="shared" si="36"/>
        <v>-67.5</v>
      </c>
      <c r="N73" s="14">
        <f t="shared" si="37"/>
        <v>0.88888888888888884</v>
      </c>
      <c r="O73" s="13">
        <v>510</v>
      </c>
      <c r="P73" s="15">
        <v>607.5</v>
      </c>
      <c r="Q73" s="13">
        <f t="shared" si="49"/>
        <v>-97.5</v>
      </c>
      <c r="R73" s="14">
        <f t="shared" si="39"/>
        <v>0.83950617283950613</v>
      </c>
      <c r="S73" s="15">
        <v>498</v>
      </c>
      <c r="T73" s="13">
        <v>540</v>
      </c>
      <c r="U73" s="15">
        <f t="shared" si="40"/>
        <v>-42</v>
      </c>
      <c r="V73" s="14">
        <f t="shared" si="41"/>
        <v>0.92222222222222228</v>
      </c>
      <c r="W73" s="13">
        <v>372</v>
      </c>
      <c r="X73" s="13">
        <v>472</v>
      </c>
      <c r="Y73" s="13">
        <f t="shared" si="42"/>
        <v>-100</v>
      </c>
      <c r="Z73" s="14">
        <f t="shared" si="43"/>
        <v>0.78813559322033899</v>
      </c>
      <c r="AA73" s="16"/>
      <c r="AB73" s="15">
        <f t="shared" si="50"/>
        <v>3012</v>
      </c>
      <c r="AC73" s="15">
        <f t="shared" si="50"/>
        <v>3401.5</v>
      </c>
      <c r="AD73" s="15">
        <f t="shared" si="46"/>
        <v>-389.5</v>
      </c>
      <c r="AE73" s="14">
        <f t="shared" si="45"/>
        <v>0.88549169484051149</v>
      </c>
    </row>
    <row r="74" spans="1:31" ht="30" hidden="1" customHeight="1" x14ac:dyDescent="0.25">
      <c r="A74" s="12"/>
      <c r="B74" s="13" t="s">
        <v>25</v>
      </c>
      <c r="C74" s="13">
        <v>258</v>
      </c>
      <c r="D74" s="13">
        <v>456</v>
      </c>
      <c r="E74" s="13">
        <f t="shared" si="47"/>
        <v>-198</v>
      </c>
      <c r="F74" s="14">
        <f t="shared" si="33"/>
        <v>0.56578947368421051</v>
      </c>
      <c r="G74" s="13">
        <v>252</v>
      </c>
      <c r="H74" s="13">
        <v>456</v>
      </c>
      <c r="I74" s="13">
        <f t="shared" si="48"/>
        <v>-204</v>
      </c>
      <c r="J74" s="14">
        <f t="shared" si="35"/>
        <v>0.55263157894736847</v>
      </c>
      <c r="K74" s="13">
        <v>312</v>
      </c>
      <c r="L74" s="13">
        <v>456</v>
      </c>
      <c r="M74" s="13">
        <f t="shared" si="36"/>
        <v>-144</v>
      </c>
      <c r="N74" s="14">
        <f t="shared" si="37"/>
        <v>0.68421052631578949</v>
      </c>
      <c r="O74" s="13">
        <v>318</v>
      </c>
      <c r="P74" s="13">
        <v>456</v>
      </c>
      <c r="Q74" s="13">
        <f t="shared" si="49"/>
        <v>-138</v>
      </c>
      <c r="R74" s="14">
        <f t="shared" si="39"/>
        <v>0.69736842105263153</v>
      </c>
      <c r="S74" s="15">
        <v>276</v>
      </c>
      <c r="T74" s="13">
        <v>504</v>
      </c>
      <c r="U74" s="15">
        <f t="shared" si="40"/>
        <v>-228</v>
      </c>
      <c r="V74" s="14">
        <f t="shared" si="41"/>
        <v>0.54761904761904767</v>
      </c>
      <c r="W74" s="13">
        <v>42</v>
      </c>
      <c r="X74" s="13"/>
      <c r="Y74" s="13">
        <f t="shared" si="42"/>
        <v>42</v>
      </c>
      <c r="Z74" s="14" t="e">
        <f t="shared" si="43"/>
        <v>#DIV/0!</v>
      </c>
      <c r="AA74" s="16"/>
      <c r="AB74" s="15">
        <f t="shared" si="50"/>
        <v>1458</v>
      </c>
      <c r="AC74" s="15">
        <f t="shared" si="50"/>
        <v>2328</v>
      </c>
      <c r="AD74" s="15">
        <f t="shared" si="46"/>
        <v>-870</v>
      </c>
      <c r="AE74" s="14">
        <f t="shared" si="45"/>
        <v>0.62628865979381443</v>
      </c>
    </row>
    <row r="75" spans="1:31" ht="30" hidden="1" customHeight="1" x14ac:dyDescent="0.25">
      <c r="A75" s="12"/>
      <c r="B75" s="13" t="s">
        <v>26</v>
      </c>
      <c r="C75" s="13">
        <v>624</v>
      </c>
      <c r="D75" s="13">
        <v>672</v>
      </c>
      <c r="E75" s="13">
        <f t="shared" si="47"/>
        <v>-48</v>
      </c>
      <c r="F75" s="14">
        <f t="shared" si="33"/>
        <v>0.9285714285714286</v>
      </c>
      <c r="G75" s="13">
        <v>600</v>
      </c>
      <c r="H75" s="13">
        <v>672</v>
      </c>
      <c r="I75" s="13">
        <f t="shared" si="48"/>
        <v>-72</v>
      </c>
      <c r="J75" s="14">
        <f t="shared" si="35"/>
        <v>0.8928571428571429</v>
      </c>
      <c r="K75" s="13">
        <v>612</v>
      </c>
      <c r="L75" s="13">
        <v>672</v>
      </c>
      <c r="M75" s="13">
        <f t="shared" si="36"/>
        <v>-60</v>
      </c>
      <c r="N75" s="14">
        <f t="shared" si="37"/>
        <v>0.9107142857142857</v>
      </c>
      <c r="O75" s="13">
        <v>624</v>
      </c>
      <c r="P75" s="13">
        <v>672</v>
      </c>
      <c r="Q75" s="13">
        <f t="shared" si="49"/>
        <v>-48</v>
      </c>
      <c r="R75" s="14">
        <f t="shared" si="39"/>
        <v>0.9285714285714286</v>
      </c>
      <c r="S75" s="15">
        <v>552</v>
      </c>
      <c r="T75" s="13">
        <v>672</v>
      </c>
      <c r="U75" s="15">
        <f t="shared" si="40"/>
        <v>-120</v>
      </c>
      <c r="V75" s="14">
        <f t="shared" si="41"/>
        <v>0.8214285714285714</v>
      </c>
      <c r="W75" s="13">
        <v>0</v>
      </c>
      <c r="X75" s="13"/>
      <c r="Y75" s="13">
        <f t="shared" si="42"/>
        <v>0</v>
      </c>
      <c r="Z75" s="14" t="e">
        <f t="shared" si="43"/>
        <v>#DIV/0!</v>
      </c>
      <c r="AA75" s="16"/>
      <c r="AB75" s="15">
        <f t="shared" si="50"/>
        <v>3012</v>
      </c>
      <c r="AC75" s="15">
        <f t="shared" si="50"/>
        <v>3360</v>
      </c>
      <c r="AD75" s="15">
        <f t="shared" si="46"/>
        <v>-348</v>
      </c>
      <c r="AE75" s="14">
        <f t="shared" si="45"/>
        <v>0.89642857142857146</v>
      </c>
    </row>
    <row r="76" spans="1:31" ht="30" hidden="1" customHeight="1" x14ac:dyDescent="0.25">
      <c r="A76" s="12"/>
      <c r="B76" s="13" t="s">
        <v>27</v>
      </c>
      <c r="C76" s="13">
        <v>264</v>
      </c>
      <c r="D76" s="13">
        <v>768</v>
      </c>
      <c r="E76" s="13">
        <f t="shared" si="47"/>
        <v>-504</v>
      </c>
      <c r="F76" s="14">
        <f t="shared" si="33"/>
        <v>0.34375</v>
      </c>
      <c r="G76" s="13">
        <v>450</v>
      </c>
      <c r="H76" s="13">
        <v>768</v>
      </c>
      <c r="I76" s="13">
        <f t="shared" si="48"/>
        <v>-318</v>
      </c>
      <c r="J76" s="14">
        <f t="shared" si="35"/>
        <v>0.5859375</v>
      </c>
      <c r="K76" s="13">
        <v>492</v>
      </c>
      <c r="L76" s="13">
        <v>768</v>
      </c>
      <c r="M76" s="13">
        <f t="shared" si="36"/>
        <v>-276</v>
      </c>
      <c r="N76" s="14">
        <f t="shared" si="37"/>
        <v>0.640625</v>
      </c>
      <c r="O76" s="13">
        <v>498</v>
      </c>
      <c r="P76" s="13">
        <v>768</v>
      </c>
      <c r="Q76" s="13">
        <f t="shared" si="49"/>
        <v>-270</v>
      </c>
      <c r="R76" s="14">
        <f t="shared" si="39"/>
        <v>0.6484375</v>
      </c>
      <c r="S76" s="15">
        <v>444</v>
      </c>
      <c r="T76" s="13">
        <v>672</v>
      </c>
      <c r="U76" s="15">
        <f t="shared" si="40"/>
        <v>-228</v>
      </c>
      <c r="V76" s="14">
        <f t="shared" si="41"/>
        <v>0.6607142857142857</v>
      </c>
      <c r="W76" s="13">
        <v>0</v>
      </c>
      <c r="X76" s="13"/>
      <c r="Y76" s="13">
        <f t="shared" si="42"/>
        <v>0</v>
      </c>
      <c r="Z76" s="14" t="e">
        <f t="shared" si="43"/>
        <v>#DIV/0!</v>
      </c>
      <c r="AA76" s="16"/>
      <c r="AB76" s="15">
        <f t="shared" si="50"/>
        <v>2148</v>
      </c>
      <c r="AC76" s="15">
        <f t="shared" si="50"/>
        <v>3744</v>
      </c>
      <c r="AD76" s="15">
        <f t="shared" si="46"/>
        <v>-1596</v>
      </c>
      <c r="AE76" s="14">
        <f t="shared" si="45"/>
        <v>0.57371794871794868</v>
      </c>
    </row>
    <row r="77" spans="1:31" ht="30" hidden="1" customHeight="1" x14ac:dyDescent="0.25">
      <c r="A77" s="12"/>
      <c r="B77" s="13" t="s">
        <v>28</v>
      </c>
      <c r="C77" s="13">
        <v>264</v>
      </c>
      <c r="D77" s="13">
        <v>360</v>
      </c>
      <c r="E77" s="13">
        <f t="shared" si="47"/>
        <v>-96</v>
      </c>
      <c r="F77" s="14">
        <f t="shared" si="33"/>
        <v>0.73333333333333328</v>
      </c>
      <c r="G77" s="13">
        <v>240</v>
      </c>
      <c r="H77" s="13">
        <v>360</v>
      </c>
      <c r="I77" s="13">
        <f t="shared" si="48"/>
        <v>-120</v>
      </c>
      <c r="J77" s="14">
        <f t="shared" si="35"/>
        <v>0.66666666666666663</v>
      </c>
      <c r="K77" s="13">
        <v>270</v>
      </c>
      <c r="L77" s="13">
        <v>360</v>
      </c>
      <c r="M77" s="13">
        <f>+K77-L77</f>
        <v>-90</v>
      </c>
      <c r="N77" s="14">
        <f t="shared" si="37"/>
        <v>0.75</v>
      </c>
      <c r="O77" s="13">
        <v>312</v>
      </c>
      <c r="P77" s="13">
        <v>360</v>
      </c>
      <c r="Q77" s="13">
        <f t="shared" si="49"/>
        <v>-48</v>
      </c>
      <c r="R77" s="14">
        <f t="shared" si="39"/>
        <v>0.8666666666666667</v>
      </c>
      <c r="S77" s="15">
        <v>210</v>
      </c>
      <c r="T77" s="13">
        <v>360</v>
      </c>
      <c r="U77" s="15">
        <f>+S77-T77</f>
        <v>-150</v>
      </c>
      <c r="V77" s="14">
        <f t="shared" si="41"/>
        <v>0.58333333333333337</v>
      </c>
      <c r="W77" s="13">
        <v>0</v>
      </c>
      <c r="X77" s="13"/>
      <c r="Y77" s="13">
        <f t="shared" si="42"/>
        <v>0</v>
      </c>
      <c r="Z77" s="14" t="e">
        <f t="shared" si="43"/>
        <v>#DIV/0!</v>
      </c>
      <c r="AA77" s="16"/>
      <c r="AB77" s="15">
        <f t="shared" si="50"/>
        <v>1296</v>
      </c>
      <c r="AC77" s="15">
        <f t="shared" si="50"/>
        <v>1800</v>
      </c>
      <c r="AD77" s="15">
        <f t="shared" si="46"/>
        <v>-504</v>
      </c>
      <c r="AE77" s="14">
        <f t="shared" si="45"/>
        <v>0.72</v>
      </c>
    </row>
    <row r="78" spans="1:31" ht="30" hidden="1" customHeight="1" x14ac:dyDescent="0.25">
      <c r="A78" s="12"/>
      <c r="B78" s="13" t="s">
        <v>29</v>
      </c>
      <c r="C78" s="13">
        <v>480</v>
      </c>
      <c r="D78" s="13">
        <v>672</v>
      </c>
      <c r="E78" s="13">
        <f t="shared" si="47"/>
        <v>-192</v>
      </c>
      <c r="F78" s="14">
        <f t="shared" si="33"/>
        <v>0.7142857142857143</v>
      </c>
      <c r="G78" s="13">
        <v>396</v>
      </c>
      <c r="H78" s="13">
        <v>672</v>
      </c>
      <c r="I78" s="13">
        <f t="shared" si="48"/>
        <v>-276</v>
      </c>
      <c r="J78" s="14">
        <f t="shared" si="35"/>
        <v>0.5892857142857143</v>
      </c>
      <c r="K78" s="13">
        <v>144</v>
      </c>
      <c r="L78" s="13">
        <v>672</v>
      </c>
      <c r="M78" s="13">
        <f>+K78-L78</f>
        <v>-528</v>
      </c>
      <c r="N78" s="14">
        <f t="shared" si="37"/>
        <v>0.21428571428571427</v>
      </c>
      <c r="O78" s="13">
        <v>462</v>
      </c>
      <c r="P78" s="13">
        <v>672</v>
      </c>
      <c r="Q78" s="13">
        <f t="shared" si="49"/>
        <v>-210</v>
      </c>
      <c r="R78" s="14">
        <f t="shared" si="39"/>
        <v>0.6875</v>
      </c>
      <c r="S78" s="13">
        <v>450</v>
      </c>
      <c r="T78" s="13">
        <v>672</v>
      </c>
      <c r="U78" s="15">
        <f>+S78-T78</f>
        <v>-222</v>
      </c>
      <c r="V78" s="14">
        <f t="shared" si="41"/>
        <v>0.6696428571428571</v>
      </c>
      <c r="W78" s="13">
        <v>0</v>
      </c>
      <c r="X78" s="13"/>
      <c r="Y78" s="13">
        <f t="shared" si="42"/>
        <v>0</v>
      </c>
      <c r="Z78" s="14" t="e">
        <f t="shared" si="43"/>
        <v>#DIV/0!</v>
      </c>
      <c r="AA78" s="16"/>
      <c r="AB78" s="15">
        <f t="shared" si="50"/>
        <v>1932</v>
      </c>
      <c r="AC78" s="15">
        <f t="shared" si="50"/>
        <v>3360</v>
      </c>
      <c r="AD78" s="15">
        <f t="shared" si="46"/>
        <v>-1428</v>
      </c>
      <c r="AE78" s="14">
        <f t="shared" si="45"/>
        <v>0.57499999999999996</v>
      </c>
    </row>
    <row r="79" spans="1:31" ht="30" hidden="1" customHeight="1" x14ac:dyDescent="0.25">
      <c r="A79" s="12"/>
      <c r="B79" s="17" t="s">
        <v>22</v>
      </c>
      <c r="C79" s="17">
        <f>SUM(C72:C78)</f>
        <v>3204</v>
      </c>
      <c r="D79" s="17">
        <f>SUM(D72:D78)</f>
        <v>4263</v>
      </c>
      <c r="E79" s="17">
        <f>C79-D79</f>
        <v>-1059</v>
      </c>
      <c r="F79" s="18">
        <f t="shared" si="33"/>
        <v>0.7515833919774807</v>
      </c>
      <c r="G79" s="17">
        <f>SUM(G72:G78)</f>
        <v>3234</v>
      </c>
      <c r="H79" s="17">
        <f>SUM(H72:H78)</f>
        <v>4207.5</v>
      </c>
      <c r="I79" s="17">
        <f>G79-H79</f>
        <v>-973.5</v>
      </c>
      <c r="J79" s="18">
        <f t="shared" si="35"/>
        <v>0.7686274509803922</v>
      </c>
      <c r="K79" s="17">
        <f>SUM(K72:K78)</f>
        <v>3048</v>
      </c>
      <c r="L79" s="17">
        <f>SUM(L72:L78)</f>
        <v>4303.5</v>
      </c>
      <c r="M79" s="17">
        <f>+K79-L79</f>
        <v>-1255.5</v>
      </c>
      <c r="N79" s="18">
        <f t="shared" si="37"/>
        <v>0.70826071802021606</v>
      </c>
      <c r="O79" s="17">
        <f>SUM(O72:O78)</f>
        <v>3396</v>
      </c>
      <c r="P79" s="17">
        <f>SUM(P72:P78)</f>
        <v>4207.5</v>
      </c>
      <c r="Q79" s="17">
        <f>O79-P79</f>
        <v>-811.5</v>
      </c>
      <c r="R79" s="18">
        <f t="shared" si="39"/>
        <v>0.8071301247771836</v>
      </c>
      <c r="S79" s="17">
        <f>SUM(S72:S78)</f>
        <v>3102</v>
      </c>
      <c r="T79" s="17">
        <f>SUM(T72:T78)</f>
        <v>4092</v>
      </c>
      <c r="U79" s="17">
        <f>+S79-T79</f>
        <v>-990</v>
      </c>
      <c r="V79" s="18">
        <f t="shared" si="41"/>
        <v>0.75806451612903225</v>
      </c>
      <c r="W79" s="17">
        <f>SUM(W72:W78)</f>
        <v>414</v>
      </c>
      <c r="X79" s="17">
        <f>SUM(X72:X78)</f>
        <v>472</v>
      </c>
      <c r="Y79" s="17">
        <f t="shared" si="42"/>
        <v>-58</v>
      </c>
      <c r="Z79" s="18">
        <f t="shared" si="43"/>
        <v>0.8771186440677966</v>
      </c>
      <c r="AA79" s="19">
        <f>SUM(AA72:AA78)</f>
        <v>0</v>
      </c>
      <c r="AB79" s="17">
        <f>SUM(AB72:AB78)</f>
        <v>16398</v>
      </c>
      <c r="AC79" s="17">
        <f>SUM(AC72:AC78)</f>
        <v>21545.5</v>
      </c>
      <c r="AD79" s="17">
        <f t="shared" si="46"/>
        <v>-5147.5</v>
      </c>
      <c r="AE79" s="18">
        <f t="shared" si="45"/>
        <v>0.7610870019261563</v>
      </c>
    </row>
    <row r="80" spans="1:31" ht="30" hidden="1" customHeight="1" x14ac:dyDescent="0.25">
      <c r="A80" s="20" t="s">
        <v>30</v>
      </c>
      <c r="B80" s="20"/>
      <c r="C80" s="19">
        <f>SUM(C71,C79)</f>
        <v>9570</v>
      </c>
      <c r="D80" s="19">
        <f>SUM(D71,D79)</f>
        <v>12327</v>
      </c>
      <c r="E80" s="19">
        <f>C80-D80</f>
        <v>-2757</v>
      </c>
      <c r="F80" s="21">
        <f t="shared" si="33"/>
        <v>0.77634460939401317</v>
      </c>
      <c r="G80" s="19">
        <f>SUM(G71,G79)</f>
        <v>9337</v>
      </c>
      <c r="H80" s="19">
        <f>SUM(H71,H79)</f>
        <v>12175.5</v>
      </c>
      <c r="I80" s="19">
        <f>G80-H80</f>
        <v>-2838.5</v>
      </c>
      <c r="J80" s="21">
        <f t="shared" si="35"/>
        <v>0.76686789043571102</v>
      </c>
      <c r="K80" s="19">
        <f>SUM(K71,K79)</f>
        <v>8916</v>
      </c>
      <c r="L80" s="19">
        <f>SUM(L71,L79)</f>
        <v>12463.5</v>
      </c>
      <c r="M80" s="19">
        <f>K80-L80</f>
        <v>-3547.5</v>
      </c>
      <c r="N80" s="21">
        <f t="shared" si="37"/>
        <v>0.7153688771211939</v>
      </c>
      <c r="O80" s="19">
        <f>SUM(O71,O79)</f>
        <v>9521</v>
      </c>
      <c r="P80" s="19">
        <f>SUM(P71,P79)</f>
        <v>12559.5</v>
      </c>
      <c r="Q80" s="19">
        <f>O80-P80</f>
        <v>-3038.5</v>
      </c>
      <c r="R80" s="21">
        <f t="shared" si="39"/>
        <v>0.7580715792826147</v>
      </c>
      <c r="S80" s="19">
        <f>SUM(S71,S79)</f>
        <v>8610</v>
      </c>
      <c r="T80" s="19">
        <f>SUM(T71,T79)</f>
        <v>11484</v>
      </c>
      <c r="U80" s="19">
        <f>S80-T80</f>
        <v>-2874</v>
      </c>
      <c r="V80" s="21">
        <f t="shared" si="41"/>
        <v>0.7497387669801463</v>
      </c>
      <c r="W80" s="19">
        <f>SUM(W71,W79)</f>
        <v>4368</v>
      </c>
      <c r="X80" s="19">
        <f>SUM(X71,X79)</f>
        <v>5176</v>
      </c>
      <c r="Y80" s="19">
        <f>W80-X80</f>
        <v>-808</v>
      </c>
      <c r="Z80" s="21">
        <f t="shared" si="43"/>
        <v>0.84389489953632146</v>
      </c>
      <c r="AA80" s="19">
        <f>SUM(AA71,AA79)</f>
        <v>0</v>
      </c>
      <c r="AB80" s="19">
        <f>SUM(AB71,AB79)</f>
        <v>50322</v>
      </c>
      <c r="AC80" s="19">
        <f>SUM(AC71,AC79)</f>
        <v>66185.5</v>
      </c>
      <c r="AD80" s="19">
        <f>AB80-AC80</f>
        <v>-15863.5</v>
      </c>
      <c r="AE80" s="21">
        <f t="shared" si="45"/>
        <v>0.76031759222186124</v>
      </c>
    </row>
    <row r="81" spans="1:31" ht="30" hidden="1" customHeight="1" x14ac:dyDescent="0.25">
      <c r="A81" s="12" t="s">
        <v>31</v>
      </c>
      <c r="B81" s="13" t="s">
        <v>32</v>
      </c>
      <c r="C81" s="13">
        <v>690</v>
      </c>
      <c r="D81" s="13">
        <v>672</v>
      </c>
      <c r="E81" s="13">
        <f>+C81-D81</f>
        <v>18</v>
      </c>
      <c r="F81" s="14">
        <f t="shared" si="33"/>
        <v>1.0267857142857142</v>
      </c>
      <c r="G81" s="13">
        <v>606</v>
      </c>
      <c r="H81" s="13">
        <v>672</v>
      </c>
      <c r="I81" s="13">
        <f t="shared" ref="I81:I90" si="51">+G81-H81</f>
        <v>-66</v>
      </c>
      <c r="J81" s="14">
        <f t="shared" si="35"/>
        <v>0.9017857142857143</v>
      </c>
      <c r="K81" s="13">
        <v>702</v>
      </c>
      <c r="L81" s="13">
        <v>672</v>
      </c>
      <c r="M81" s="13">
        <f t="shared" ref="M81:M93" si="52">+K81-L81</f>
        <v>30</v>
      </c>
      <c r="N81" s="14">
        <f t="shared" si="37"/>
        <v>1.0446428571428572</v>
      </c>
      <c r="O81" s="13">
        <v>708</v>
      </c>
      <c r="P81" s="13">
        <v>672</v>
      </c>
      <c r="Q81" s="13">
        <f t="shared" ref="Q81:Q90" si="53">+O81-P81</f>
        <v>36</v>
      </c>
      <c r="R81" s="14">
        <f t="shared" si="39"/>
        <v>1.0535714285714286</v>
      </c>
      <c r="S81" s="15">
        <v>666</v>
      </c>
      <c r="T81" s="13">
        <v>672</v>
      </c>
      <c r="U81" s="15">
        <f t="shared" ref="U81:U93" si="54">+S81-T81</f>
        <v>-6</v>
      </c>
      <c r="V81" s="14">
        <f t="shared" si="41"/>
        <v>0.9910714285714286</v>
      </c>
      <c r="W81" s="13">
        <v>0</v>
      </c>
      <c r="X81" s="13"/>
      <c r="Y81" s="13">
        <f t="shared" ref="Y81:Y90" si="55">+W81-X81</f>
        <v>0</v>
      </c>
      <c r="Z81" s="14" t="e">
        <f t="shared" si="43"/>
        <v>#DIV/0!</v>
      </c>
      <c r="AA81" s="16"/>
      <c r="AB81" s="15">
        <f t="shared" ref="AB81:AC90" si="56">+C81+G81+K81+O81+S81+W81</f>
        <v>3372</v>
      </c>
      <c r="AC81" s="15">
        <f t="shared" si="56"/>
        <v>3360</v>
      </c>
      <c r="AD81" s="15">
        <f>+AB81-AC81</f>
        <v>12</v>
      </c>
      <c r="AE81" s="14">
        <f t="shared" si="45"/>
        <v>1.0035714285714286</v>
      </c>
    </row>
    <row r="82" spans="1:31" ht="30" hidden="1" customHeight="1" x14ac:dyDescent="0.25">
      <c r="A82" s="12"/>
      <c r="B82" s="13" t="s">
        <v>33</v>
      </c>
      <c r="C82" s="13">
        <v>720</v>
      </c>
      <c r="D82" s="13">
        <v>672</v>
      </c>
      <c r="E82" s="13">
        <f>+C82-D82</f>
        <v>48</v>
      </c>
      <c r="F82" s="14">
        <f t="shared" si="33"/>
        <v>1.0714285714285714</v>
      </c>
      <c r="G82" s="13">
        <v>672</v>
      </c>
      <c r="H82" s="13">
        <v>672</v>
      </c>
      <c r="I82" s="13">
        <f t="shared" si="51"/>
        <v>0</v>
      </c>
      <c r="J82" s="14">
        <f t="shared" si="35"/>
        <v>1</v>
      </c>
      <c r="K82" s="13">
        <v>654</v>
      </c>
      <c r="L82" s="13">
        <v>672</v>
      </c>
      <c r="M82" s="13">
        <f t="shared" si="52"/>
        <v>-18</v>
      </c>
      <c r="N82" s="14">
        <f t="shared" si="37"/>
        <v>0.9732142857142857</v>
      </c>
      <c r="O82" s="13">
        <v>648</v>
      </c>
      <c r="P82" s="13">
        <v>672</v>
      </c>
      <c r="Q82" s="13">
        <f t="shared" si="53"/>
        <v>-24</v>
      </c>
      <c r="R82" s="14">
        <f t="shared" si="39"/>
        <v>0.9642857142857143</v>
      </c>
      <c r="S82" s="15">
        <v>660</v>
      </c>
      <c r="T82" s="13">
        <v>672</v>
      </c>
      <c r="U82" s="15">
        <f t="shared" si="54"/>
        <v>-12</v>
      </c>
      <c r="V82" s="14">
        <f t="shared" si="41"/>
        <v>0.9821428571428571</v>
      </c>
      <c r="W82" s="13">
        <v>0</v>
      </c>
      <c r="X82" s="13"/>
      <c r="Y82" s="13">
        <f t="shared" si="55"/>
        <v>0</v>
      </c>
      <c r="Z82" s="14" t="e">
        <f t="shared" si="43"/>
        <v>#DIV/0!</v>
      </c>
      <c r="AA82" s="16"/>
      <c r="AB82" s="15">
        <f t="shared" si="56"/>
        <v>3354</v>
      </c>
      <c r="AC82" s="15">
        <f t="shared" si="56"/>
        <v>3360</v>
      </c>
      <c r="AD82" s="15">
        <f>+AB82-AC82</f>
        <v>-6</v>
      </c>
      <c r="AE82" s="14">
        <f t="shared" si="45"/>
        <v>0.99821428571428572</v>
      </c>
    </row>
    <row r="83" spans="1:31" ht="30" hidden="1" customHeight="1" x14ac:dyDescent="0.25">
      <c r="A83" s="12"/>
      <c r="B83" s="13" t="s">
        <v>34</v>
      </c>
      <c r="C83" s="13">
        <v>732</v>
      </c>
      <c r="D83" s="13">
        <v>768</v>
      </c>
      <c r="E83" s="13">
        <f t="shared" ref="E83:E90" si="57">+C83-D83</f>
        <v>-36</v>
      </c>
      <c r="F83" s="14">
        <f t="shared" si="33"/>
        <v>0.953125</v>
      </c>
      <c r="G83" s="13">
        <v>588</v>
      </c>
      <c r="H83" s="13">
        <v>768</v>
      </c>
      <c r="I83" s="13">
        <f t="shared" si="51"/>
        <v>-180</v>
      </c>
      <c r="J83" s="14">
        <f t="shared" si="35"/>
        <v>0.765625</v>
      </c>
      <c r="K83" s="13">
        <v>642</v>
      </c>
      <c r="L83" s="13">
        <v>768</v>
      </c>
      <c r="M83" s="13">
        <f t="shared" si="52"/>
        <v>-126</v>
      </c>
      <c r="N83" s="14">
        <f t="shared" si="37"/>
        <v>0.8359375</v>
      </c>
      <c r="O83" s="13">
        <v>600</v>
      </c>
      <c r="P83" s="13">
        <v>768</v>
      </c>
      <c r="Q83" s="13">
        <f t="shared" si="53"/>
        <v>-168</v>
      </c>
      <c r="R83" s="14">
        <f t="shared" si="39"/>
        <v>0.78125</v>
      </c>
      <c r="S83" s="15">
        <v>552</v>
      </c>
      <c r="T83" s="13">
        <v>672</v>
      </c>
      <c r="U83" s="15">
        <f t="shared" si="54"/>
        <v>-120</v>
      </c>
      <c r="V83" s="14">
        <f t="shared" si="41"/>
        <v>0.8214285714285714</v>
      </c>
      <c r="W83" s="13">
        <v>0</v>
      </c>
      <c r="X83" s="13"/>
      <c r="Y83" s="13">
        <f t="shared" si="55"/>
        <v>0</v>
      </c>
      <c r="Z83" s="14" t="e">
        <f t="shared" si="43"/>
        <v>#DIV/0!</v>
      </c>
      <c r="AA83" s="16"/>
      <c r="AB83" s="15">
        <f t="shared" si="56"/>
        <v>3114</v>
      </c>
      <c r="AC83" s="15">
        <f t="shared" si="56"/>
        <v>3744</v>
      </c>
      <c r="AD83" s="15">
        <f>+AB83-AC83</f>
        <v>-630</v>
      </c>
      <c r="AE83" s="14">
        <f t="shared" si="45"/>
        <v>0.83173076923076927</v>
      </c>
    </row>
    <row r="84" spans="1:31" ht="30" hidden="1" customHeight="1" x14ac:dyDescent="0.25">
      <c r="A84" s="12"/>
      <c r="B84" s="13" t="s">
        <v>35</v>
      </c>
      <c r="C84" s="13">
        <v>648</v>
      </c>
      <c r="D84" s="13">
        <v>672</v>
      </c>
      <c r="E84" s="13">
        <f t="shared" si="57"/>
        <v>-24</v>
      </c>
      <c r="F84" s="14">
        <f t="shared" si="33"/>
        <v>0.9642857142857143</v>
      </c>
      <c r="G84" s="13">
        <v>564</v>
      </c>
      <c r="H84" s="13">
        <v>672</v>
      </c>
      <c r="I84" s="13">
        <f t="shared" si="51"/>
        <v>-108</v>
      </c>
      <c r="J84" s="14">
        <f t="shared" si="35"/>
        <v>0.8392857142857143</v>
      </c>
      <c r="K84" s="13">
        <v>630</v>
      </c>
      <c r="L84" s="13">
        <v>672</v>
      </c>
      <c r="M84" s="13">
        <f t="shared" si="52"/>
        <v>-42</v>
      </c>
      <c r="N84" s="14">
        <f t="shared" si="37"/>
        <v>0.9375</v>
      </c>
      <c r="O84" s="13">
        <v>672</v>
      </c>
      <c r="P84" s="13">
        <v>672</v>
      </c>
      <c r="Q84" s="13">
        <f t="shared" si="53"/>
        <v>0</v>
      </c>
      <c r="R84" s="14">
        <f t="shared" si="39"/>
        <v>1</v>
      </c>
      <c r="S84" s="15">
        <v>660</v>
      </c>
      <c r="T84" s="13">
        <v>672</v>
      </c>
      <c r="U84" s="15">
        <f t="shared" si="54"/>
        <v>-12</v>
      </c>
      <c r="V84" s="14">
        <f t="shared" si="41"/>
        <v>0.9821428571428571</v>
      </c>
      <c r="W84" s="13">
        <v>588</v>
      </c>
      <c r="X84" s="13">
        <v>588</v>
      </c>
      <c r="Y84" s="13">
        <f t="shared" si="55"/>
        <v>0</v>
      </c>
      <c r="Z84" s="14">
        <f t="shared" si="43"/>
        <v>1</v>
      </c>
      <c r="AA84" s="16"/>
      <c r="AB84" s="15">
        <f t="shared" si="56"/>
        <v>3762</v>
      </c>
      <c r="AC84" s="15">
        <f t="shared" si="56"/>
        <v>3948</v>
      </c>
      <c r="AD84" s="15">
        <f>+AB84-AC84</f>
        <v>-186</v>
      </c>
      <c r="AE84" s="14">
        <f t="shared" si="45"/>
        <v>0.95288753799392101</v>
      </c>
    </row>
    <row r="85" spans="1:31" ht="30" hidden="1" customHeight="1" x14ac:dyDescent="0.25">
      <c r="A85" s="12"/>
      <c r="B85" s="13" t="s">
        <v>36</v>
      </c>
      <c r="C85" s="13">
        <v>792</v>
      </c>
      <c r="D85" s="13">
        <v>768</v>
      </c>
      <c r="E85" s="13">
        <f t="shared" si="57"/>
        <v>24</v>
      </c>
      <c r="F85" s="14">
        <f t="shared" si="33"/>
        <v>1.03125</v>
      </c>
      <c r="G85" s="13">
        <v>522</v>
      </c>
      <c r="H85" s="15">
        <v>672</v>
      </c>
      <c r="I85" s="13">
        <f t="shared" si="51"/>
        <v>-150</v>
      </c>
      <c r="J85" s="14">
        <f t="shared" si="35"/>
        <v>0.7767857142857143</v>
      </c>
      <c r="K85" s="13">
        <v>432</v>
      </c>
      <c r="L85" s="13">
        <v>672</v>
      </c>
      <c r="M85" s="13">
        <f t="shared" si="52"/>
        <v>-240</v>
      </c>
      <c r="N85" s="14">
        <f t="shared" si="37"/>
        <v>0.6428571428571429</v>
      </c>
      <c r="O85" s="13">
        <v>558</v>
      </c>
      <c r="P85" s="13">
        <v>672</v>
      </c>
      <c r="Q85" s="13">
        <f t="shared" si="53"/>
        <v>-114</v>
      </c>
      <c r="R85" s="14">
        <f t="shared" si="39"/>
        <v>0.8303571428571429</v>
      </c>
      <c r="S85" s="15">
        <v>594</v>
      </c>
      <c r="T85" s="13">
        <v>672</v>
      </c>
      <c r="U85" s="15">
        <f t="shared" si="54"/>
        <v>-78</v>
      </c>
      <c r="V85" s="14">
        <f t="shared" si="41"/>
        <v>0.8839285714285714</v>
      </c>
      <c r="W85" s="13">
        <v>0</v>
      </c>
      <c r="X85" s="13"/>
      <c r="Y85" s="13">
        <f t="shared" si="55"/>
        <v>0</v>
      </c>
      <c r="Z85" s="14" t="e">
        <f t="shared" si="43"/>
        <v>#DIV/0!</v>
      </c>
      <c r="AA85" s="16"/>
      <c r="AB85" s="15">
        <f t="shared" si="56"/>
        <v>2898</v>
      </c>
      <c r="AC85" s="15">
        <f t="shared" si="56"/>
        <v>3456</v>
      </c>
      <c r="AD85" s="15">
        <f>+AB85-AC85</f>
        <v>-558</v>
      </c>
      <c r="AE85" s="14">
        <f t="shared" si="45"/>
        <v>0.83854166666666663</v>
      </c>
    </row>
    <row r="86" spans="1:31" ht="30" hidden="1" customHeight="1" x14ac:dyDescent="0.25">
      <c r="A86" s="12"/>
      <c r="B86" s="13" t="s">
        <v>37</v>
      </c>
      <c r="C86" s="13">
        <v>720</v>
      </c>
      <c r="D86" s="13">
        <v>768</v>
      </c>
      <c r="E86" s="13">
        <f t="shared" si="57"/>
        <v>-48</v>
      </c>
      <c r="F86" s="14">
        <f t="shared" si="33"/>
        <v>0.9375</v>
      </c>
      <c r="G86" s="13">
        <v>618</v>
      </c>
      <c r="H86" s="13">
        <v>768</v>
      </c>
      <c r="I86" s="13">
        <f t="shared" si="51"/>
        <v>-150</v>
      </c>
      <c r="J86" s="14">
        <f t="shared" si="35"/>
        <v>0.8046875</v>
      </c>
      <c r="K86" s="13">
        <v>576</v>
      </c>
      <c r="L86" s="13">
        <v>672</v>
      </c>
      <c r="M86" s="13">
        <f t="shared" si="52"/>
        <v>-96</v>
      </c>
      <c r="N86" s="14">
        <f t="shared" si="37"/>
        <v>0.8571428571428571</v>
      </c>
      <c r="O86" s="13">
        <v>636</v>
      </c>
      <c r="P86" s="15">
        <v>768</v>
      </c>
      <c r="Q86" s="13">
        <f t="shared" si="53"/>
        <v>-132</v>
      </c>
      <c r="R86" s="14">
        <f t="shared" si="39"/>
        <v>0.828125</v>
      </c>
      <c r="S86" s="15">
        <v>528</v>
      </c>
      <c r="T86" s="13">
        <v>672</v>
      </c>
      <c r="U86" s="15">
        <f t="shared" si="54"/>
        <v>-144</v>
      </c>
      <c r="V86" s="14">
        <f t="shared" si="41"/>
        <v>0.7857142857142857</v>
      </c>
      <c r="W86" s="13">
        <v>0</v>
      </c>
      <c r="X86" s="13"/>
      <c r="Y86" s="13">
        <f t="shared" si="55"/>
        <v>0</v>
      </c>
      <c r="Z86" s="14" t="e">
        <f t="shared" si="43"/>
        <v>#DIV/0!</v>
      </c>
      <c r="AA86" s="16"/>
      <c r="AB86" s="15">
        <f t="shared" si="56"/>
        <v>3078</v>
      </c>
      <c r="AC86" s="15">
        <f t="shared" si="56"/>
        <v>3648</v>
      </c>
      <c r="AD86" s="15">
        <f t="shared" ref="AD86:AD93" si="58">+AB86-AC86</f>
        <v>-570</v>
      </c>
      <c r="AE86" s="14">
        <f t="shared" si="45"/>
        <v>0.84375</v>
      </c>
    </row>
    <row r="87" spans="1:31" ht="30" hidden="1" customHeight="1" x14ac:dyDescent="0.25">
      <c r="A87" s="12"/>
      <c r="B87" s="13" t="s">
        <v>38</v>
      </c>
      <c r="C87" s="13">
        <v>636</v>
      </c>
      <c r="D87" s="13">
        <v>672</v>
      </c>
      <c r="E87" s="13">
        <f t="shared" si="57"/>
        <v>-36</v>
      </c>
      <c r="F87" s="14">
        <f t="shared" si="33"/>
        <v>0.9464285714285714</v>
      </c>
      <c r="G87" s="13">
        <v>504</v>
      </c>
      <c r="H87" s="13">
        <v>672</v>
      </c>
      <c r="I87" s="13">
        <f t="shared" si="51"/>
        <v>-168</v>
      </c>
      <c r="J87" s="14">
        <f t="shared" si="35"/>
        <v>0.75</v>
      </c>
      <c r="K87" s="13">
        <v>654</v>
      </c>
      <c r="L87" s="13">
        <v>672</v>
      </c>
      <c r="M87" s="13">
        <f t="shared" si="52"/>
        <v>-18</v>
      </c>
      <c r="N87" s="14">
        <f t="shared" si="37"/>
        <v>0.9732142857142857</v>
      </c>
      <c r="O87" s="13">
        <v>672</v>
      </c>
      <c r="P87" s="13">
        <v>672</v>
      </c>
      <c r="Q87" s="13">
        <f t="shared" si="53"/>
        <v>0</v>
      </c>
      <c r="R87" s="14">
        <f t="shared" si="39"/>
        <v>1</v>
      </c>
      <c r="S87" s="15">
        <v>612</v>
      </c>
      <c r="T87" s="13">
        <v>672</v>
      </c>
      <c r="U87" s="15">
        <f t="shared" si="54"/>
        <v>-60</v>
      </c>
      <c r="V87" s="14">
        <f t="shared" si="41"/>
        <v>0.9107142857142857</v>
      </c>
      <c r="W87" s="13">
        <v>0</v>
      </c>
      <c r="X87" s="13"/>
      <c r="Y87" s="13">
        <f t="shared" si="55"/>
        <v>0</v>
      </c>
      <c r="Z87" s="14" t="e">
        <f t="shared" si="43"/>
        <v>#DIV/0!</v>
      </c>
      <c r="AA87" s="16"/>
      <c r="AB87" s="15">
        <f t="shared" si="56"/>
        <v>3078</v>
      </c>
      <c r="AC87" s="15">
        <f t="shared" si="56"/>
        <v>3360</v>
      </c>
      <c r="AD87" s="15">
        <f t="shared" si="58"/>
        <v>-282</v>
      </c>
      <c r="AE87" s="14">
        <f t="shared" si="45"/>
        <v>0.91607142857142854</v>
      </c>
    </row>
    <row r="88" spans="1:31" ht="30" hidden="1" customHeight="1" x14ac:dyDescent="0.25">
      <c r="A88" s="12"/>
      <c r="B88" s="13" t="s">
        <v>39</v>
      </c>
      <c r="C88" s="13">
        <v>594</v>
      </c>
      <c r="D88" s="13">
        <v>768</v>
      </c>
      <c r="E88" s="13">
        <f t="shared" si="57"/>
        <v>-174</v>
      </c>
      <c r="F88" s="14">
        <f t="shared" si="33"/>
        <v>0.7734375</v>
      </c>
      <c r="G88" s="13">
        <v>588</v>
      </c>
      <c r="H88" s="15">
        <v>768</v>
      </c>
      <c r="I88" s="13">
        <f t="shared" si="51"/>
        <v>-180</v>
      </c>
      <c r="J88" s="14">
        <f t="shared" si="35"/>
        <v>0.765625</v>
      </c>
      <c r="K88" s="13">
        <v>732</v>
      </c>
      <c r="L88" s="13">
        <v>768</v>
      </c>
      <c r="M88" s="13">
        <f t="shared" si="52"/>
        <v>-36</v>
      </c>
      <c r="N88" s="14">
        <f t="shared" si="37"/>
        <v>0.953125</v>
      </c>
      <c r="O88" s="13">
        <v>702</v>
      </c>
      <c r="P88" s="13">
        <v>768</v>
      </c>
      <c r="Q88" s="13">
        <f t="shared" si="53"/>
        <v>-66</v>
      </c>
      <c r="R88" s="14">
        <f t="shared" si="39"/>
        <v>0.9140625</v>
      </c>
      <c r="S88" s="15">
        <v>483</v>
      </c>
      <c r="T88" s="13">
        <v>672</v>
      </c>
      <c r="U88" s="15">
        <f t="shared" si="54"/>
        <v>-189</v>
      </c>
      <c r="V88" s="14">
        <f t="shared" si="41"/>
        <v>0.71875</v>
      </c>
      <c r="W88" s="13">
        <v>372</v>
      </c>
      <c r="X88" s="13">
        <v>588</v>
      </c>
      <c r="Y88" s="13">
        <f t="shared" si="55"/>
        <v>-216</v>
      </c>
      <c r="Z88" s="14">
        <f t="shared" si="43"/>
        <v>0.63265306122448983</v>
      </c>
      <c r="AA88" s="16"/>
      <c r="AB88" s="15">
        <f t="shared" si="56"/>
        <v>3471</v>
      </c>
      <c r="AC88" s="15">
        <f t="shared" si="56"/>
        <v>4332</v>
      </c>
      <c r="AD88" s="15">
        <f t="shared" si="58"/>
        <v>-861</v>
      </c>
      <c r="AE88" s="14">
        <f t="shared" si="45"/>
        <v>0.80124653739612184</v>
      </c>
    </row>
    <row r="89" spans="1:31" ht="30" hidden="1" customHeight="1" x14ac:dyDescent="0.25">
      <c r="A89" s="12"/>
      <c r="B89" s="13" t="s">
        <v>40</v>
      </c>
      <c r="C89" s="13">
        <v>660</v>
      </c>
      <c r="D89" s="13">
        <v>672</v>
      </c>
      <c r="E89" s="13">
        <f t="shared" si="57"/>
        <v>-12</v>
      </c>
      <c r="F89" s="14">
        <f t="shared" si="33"/>
        <v>0.9821428571428571</v>
      </c>
      <c r="G89" s="13">
        <v>552</v>
      </c>
      <c r="H89" s="13">
        <v>672</v>
      </c>
      <c r="I89" s="13">
        <f t="shared" si="51"/>
        <v>-120</v>
      </c>
      <c r="J89" s="14">
        <f t="shared" si="35"/>
        <v>0.8214285714285714</v>
      </c>
      <c r="K89" s="13">
        <v>648</v>
      </c>
      <c r="L89" s="13">
        <v>672</v>
      </c>
      <c r="M89" s="13">
        <f t="shared" si="52"/>
        <v>-24</v>
      </c>
      <c r="N89" s="14">
        <f t="shared" si="37"/>
        <v>0.9642857142857143</v>
      </c>
      <c r="O89" s="13">
        <v>672</v>
      </c>
      <c r="P89" s="13">
        <v>672</v>
      </c>
      <c r="Q89" s="13">
        <f t="shared" si="53"/>
        <v>0</v>
      </c>
      <c r="R89" s="14">
        <f t="shared" si="39"/>
        <v>1</v>
      </c>
      <c r="S89" s="15">
        <v>606</v>
      </c>
      <c r="T89" s="13">
        <v>672</v>
      </c>
      <c r="U89" s="15">
        <f t="shared" si="54"/>
        <v>-66</v>
      </c>
      <c r="V89" s="14">
        <f t="shared" si="41"/>
        <v>0.9017857142857143</v>
      </c>
      <c r="W89" s="13">
        <v>0</v>
      </c>
      <c r="X89" s="13"/>
      <c r="Y89" s="13">
        <f t="shared" si="55"/>
        <v>0</v>
      </c>
      <c r="Z89" s="14" t="e">
        <f t="shared" si="43"/>
        <v>#DIV/0!</v>
      </c>
      <c r="AA89" s="16"/>
      <c r="AB89" s="15">
        <f t="shared" si="56"/>
        <v>3138</v>
      </c>
      <c r="AC89" s="15">
        <f t="shared" si="56"/>
        <v>3360</v>
      </c>
      <c r="AD89" s="15">
        <f t="shared" si="58"/>
        <v>-222</v>
      </c>
      <c r="AE89" s="14">
        <f t="shared" si="45"/>
        <v>0.93392857142857144</v>
      </c>
    </row>
    <row r="90" spans="1:31" ht="30" hidden="1" customHeight="1" x14ac:dyDescent="0.25">
      <c r="A90" s="12"/>
      <c r="B90" s="13" t="s">
        <v>41</v>
      </c>
      <c r="C90" s="13">
        <v>564</v>
      </c>
      <c r="D90" s="13">
        <v>672</v>
      </c>
      <c r="E90" s="13">
        <f t="shared" si="57"/>
        <v>-108</v>
      </c>
      <c r="F90" s="14">
        <f t="shared" si="33"/>
        <v>0.8392857142857143</v>
      </c>
      <c r="G90" s="13">
        <v>528</v>
      </c>
      <c r="H90" s="13">
        <v>672</v>
      </c>
      <c r="I90" s="13">
        <f t="shared" si="51"/>
        <v>-144</v>
      </c>
      <c r="J90" s="14">
        <f t="shared" si="35"/>
        <v>0.7857142857142857</v>
      </c>
      <c r="K90" s="13">
        <v>672</v>
      </c>
      <c r="L90" s="13">
        <v>672</v>
      </c>
      <c r="M90" s="13">
        <f t="shared" si="52"/>
        <v>0</v>
      </c>
      <c r="N90" s="14">
        <f t="shared" si="37"/>
        <v>1</v>
      </c>
      <c r="O90" s="13">
        <v>654</v>
      </c>
      <c r="P90" s="13">
        <v>672</v>
      </c>
      <c r="Q90" s="13">
        <f t="shared" si="53"/>
        <v>-18</v>
      </c>
      <c r="R90" s="14">
        <f t="shared" si="39"/>
        <v>0.9732142857142857</v>
      </c>
      <c r="S90" s="15">
        <v>648</v>
      </c>
      <c r="T90" s="13">
        <v>672</v>
      </c>
      <c r="U90" s="15">
        <f t="shared" si="54"/>
        <v>-24</v>
      </c>
      <c r="V90" s="14">
        <f t="shared" si="41"/>
        <v>0.9642857142857143</v>
      </c>
      <c r="W90" s="13">
        <v>552</v>
      </c>
      <c r="X90" s="13">
        <v>588</v>
      </c>
      <c r="Y90" s="13">
        <f t="shared" si="55"/>
        <v>-36</v>
      </c>
      <c r="Z90" s="14">
        <f t="shared" si="43"/>
        <v>0.93877551020408168</v>
      </c>
      <c r="AA90" s="16"/>
      <c r="AB90" s="15">
        <f t="shared" si="56"/>
        <v>3618</v>
      </c>
      <c r="AC90" s="15">
        <f t="shared" si="56"/>
        <v>3948</v>
      </c>
      <c r="AD90" s="15">
        <f t="shared" si="58"/>
        <v>-330</v>
      </c>
      <c r="AE90" s="14">
        <f t="shared" si="45"/>
        <v>0.9164133738601824</v>
      </c>
    </row>
    <row r="91" spans="1:31" ht="30" hidden="1" customHeight="1" x14ac:dyDescent="0.25">
      <c r="A91" s="12"/>
      <c r="B91" s="17" t="s">
        <v>22</v>
      </c>
      <c r="C91" s="17">
        <f>SUM(C81:C90)</f>
        <v>6756</v>
      </c>
      <c r="D91" s="17">
        <f>SUM(D81:D90)</f>
        <v>7104</v>
      </c>
      <c r="E91" s="17">
        <f>C91-D91</f>
        <v>-348</v>
      </c>
      <c r="F91" s="18">
        <f t="shared" si="33"/>
        <v>0.95101351351351349</v>
      </c>
      <c r="G91" s="17">
        <f>SUM(G81:G90)</f>
        <v>5742</v>
      </c>
      <c r="H91" s="17">
        <f>SUM(H81:H90)</f>
        <v>7008</v>
      </c>
      <c r="I91" s="17">
        <f>G91-H91</f>
        <v>-1266</v>
      </c>
      <c r="J91" s="18">
        <f t="shared" si="35"/>
        <v>0.81934931506849318</v>
      </c>
      <c r="K91" s="17">
        <f>SUM(K81:K90)</f>
        <v>6342</v>
      </c>
      <c r="L91" s="17">
        <f>SUM(L81:L90)</f>
        <v>6912</v>
      </c>
      <c r="M91" s="17">
        <f t="shared" si="52"/>
        <v>-570</v>
      </c>
      <c r="N91" s="18">
        <f t="shared" si="37"/>
        <v>0.91753472222222221</v>
      </c>
      <c r="O91" s="17">
        <f>SUM(O81:O90)</f>
        <v>6522</v>
      </c>
      <c r="P91" s="17">
        <f>SUM(P81:P90)</f>
        <v>7008</v>
      </c>
      <c r="Q91" s="17">
        <f>O91-P91</f>
        <v>-486</v>
      </c>
      <c r="R91" s="18">
        <f t="shared" si="39"/>
        <v>0.93065068493150682</v>
      </c>
      <c r="S91" s="17">
        <f>SUM(S81:S90)</f>
        <v>6009</v>
      </c>
      <c r="T91" s="17">
        <f>SUM(T81:T90)</f>
        <v>6720</v>
      </c>
      <c r="U91" s="17">
        <f t="shared" si="54"/>
        <v>-711</v>
      </c>
      <c r="V91" s="18">
        <f t="shared" si="41"/>
        <v>0.89419642857142856</v>
      </c>
      <c r="W91" s="17">
        <f>SUM(W81:W90)</f>
        <v>1512</v>
      </c>
      <c r="X91" s="17">
        <f>SUM(X81:X90)</f>
        <v>1764</v>
      </c>
      <c r="Y91" s="17">
        <f>W91-X91</f>
        <v>-252</v>
      </c>
      <c r="Z91" s="18">
        <f t="shared" si="43"/>
        <v>0.8571428571428571</v>
      </c>
      <c r="AA91" s="19">
        <f>SUM(AA81:AA90)</f>
        <v>0</v>
      </c>
      <c r="AB91" s="17">
        <f>SUM(AB81:AB90)</f>
        <v>32883</v>
      </c>
      <c r="AC91" s="17">
        <f>SUM(AC81:AC90)</f>
        <v>36516</v>
      </c>
      <c r="AD91" s="17">
        <f t="shared" si="58"/>
        <v>-3633</v>
      </c>
      <c r="AE91" s="18">
        <f t="shared" si="45"/>
        <v>0.9005093657574762</v>
      </c>
    </row>
    <row r="92" spans="1:31" ht="30" hidden="1" customHeight="1" x14ac:dyDescent="0.25">
      <c r="A92" s="12"/>
      <c r="B92" s="13" t="s">
        <v>42</v>
      </c>
      <c r="C92" s="13">
        <v>720</v>
      </c>
      <c r="D92" s="13">
        <v>768</v>
      </c>
      <c r="E92" s="13">
        <f t="shared" ref="E92:E97" si="59">+C92-D92</f>
        <v>-48</v>
      </c>
      <c r="F92" s="14">
        <f t="shared" si="33"/>
        <v>0.9375</v>
      </c>
      <c r="G92" s="13">
        <v>708</v>
      </c>
      <c r="H92" s="13">
        <v>768</v>
      </c>
      <c r="I92" s="13">
        <f t="shared" ref="I92:I97" si="60">+G92-H92</f>
        <v>-60</v>
      </c>
      <c r="J92" s="14">
        <f t="shared" si="35"/>
        <v>0.921875</v>
      </c>
      <c r="K92" s="13">
        <v>762</v>
      </c>
      <c r="L92" s="13">
        <v>768</v>
      </c>
      <c r="M92" s="13">
        <f t="shared" si="52"/>
        <v>-6</v>
      </c>
      <c r="N92" s="14">
        <f t="shared" si="37"/>
        <v>0.9921875</v>
      </c>
      <c r="O92" s="13">
        <v>684</v>
      </c>
      <c r="P92" s="13">
        <v>768</v>
      </c>
      <c r="Q92" s="13">
        <f t="shared" ref="Q92:Q97" si="61">+O92-P92</f>
        <v>-84</v>
      </c>
      <c r="R92" s="14">
        <f t="shared" si="39"/>
        <v>0.890625</v>
      </c>
      <c r="S92" s="15">
        <v>648</v>
      </c>
      <c r="T92" s="13">
        <v>672</v>
      </c>
      <c r="U92" s="15">
        <f t="shared" si="54"/>
        <v>-24</v>
      </c>
      <c r="V92" s="14">
        <f t="shared" si="41"/>
        <v>0.9642857142857143</v>
      </c>
      <c r="W92" s="13">
        <v>72</v>
      </c>
      <c r="X92" s="13"/>
      <c r="Y92" s="13">
        <f t="shared" ref="Y92:Y97" si="62">+W92-X92</f>
        <v>72</v>
      </c>
      <c r="Z92" s="14" t="e">
        <f t="shared" si="43"/>
        <v>#DIV/0!</v>
      </c>
      <c r="AA92" s="16"/>
      <c r="AB92" s="15">
        <f t="shared" ref="AB92:AC97" si="63">+C92+G92+K92+O92+S92+W92</f>
        <v>3594</v>
      </c>
      <c r="AC92" s="15">
        <f t="shared" si="63"/>
        <v>3744</v>
      </c>
      <c r="AD92" s="15">
        <f t="shared" si="58"/>
        <v>-150</v>
      </c>
      <c r="AE92" s="14">
        <f t="shared" si="45"/>
        <v>0.95993589743589747</v>
      </c>
    </row>
    <row r="93" spans="1:31" ht="30" hidden="1" customHeight="1" x14ac:dyDescent="0.25">
      <c r="A93" s="12"/>
      <c r="B93" s="13" t="s">
        <v>43</v>
      </c>
      <c r="C93" s="13">
        <v>576</v>
      </c>
      <c r="D93" s="15">
        <v>408</v>
      </c>
      <c r="E93" s="13">
        <f t="shared" si="59"/>
        <v>168</v>
      </c>
      <c r="F93" s="14">
        <f t="shared" si="33"/>
        <v>1.411764705882353</v>
      </c>
      <c r="G93" s="13">
        <v>564</v>
      </c>
      <c r="H93" s="13">
        <v>408</v>
      </c>
      <c r="I93" s="13">
        <f t="shared" si="60"/>
        <v>156</v>
      </c>
      <c r="J93" s="14">
        <f t="shared" si="35"/>
        <v>1.3823529411764706</v>
      </c>
      <c r="K93" s="13">
        <v>570</v>
      </c>
      <c r="L93" s="13">
        <v>480</v>
      </c>
      <c r="M93" s="13">
        <f t="shared" si="52"/>
        <v>90</v>
      </c>
      <c r="N93" s="14">
        <f t="shared" si="37"/>
        <v>1.1875</v>
      </c>
      <c r="O93" s="13">
        <v>576</v>
      </c>
      <c r="P93" s="15">
        <v>480</v>
      </c>
      <c r="Q93" s="13">
        <f t="shared" si="61"/>
        <v>96</v>
      </c>
      <c r="R93" s="14">
        <f t="shared" si="39"/>
        <v>1.2</v>
      </c>
      <c r="S93" s="15">
        <v>492</v>
      </c>
      <c r="T93" s="13">
        <v>480</v>
      </c>
      <c r="U93" s="15">
        <f t="shared" si="54"/>
        <v>12</v>
      </c>
      <c r="V93" s="14">
        <f t="shared" si="41"/>
        <v>1.0249999999999999</v>
      </c>
      <c r="W93" s="13">
        <v>420</v>
      </c>
      <c r="X93" s="13">
        <v>420</v>
      </c>
      <c r="Y93" s="13">
        <f t="shared" si="62"/>
        <v>0</v>
      </c>
      <c r="Z93" s="14">
        <f t="shared" si="43"/>
        <v>1</v>
      </c>
      <c r="AA93" s="16"/>
      <c r="AB93" s="15">
        <f t="shared" si="63"/>
        <v>3198</v>
      </c>
      <c r="AC93" s="15">
        <f t="shared" si="63"/>
        <v>2676</v>
      </c>
      <c r="AD93" s="15">
        <f t="shared" si="58"/>
        <v>522</v>
      </c>
      <c r="AE93" s="14">
        <f t="shared" si="45"/>
        <v>1.195067264573991</v>
      </c>
    </row>
    <row r="94" spans="1:31" ht="30" hidden="1" customHeight="1" x14ac:dyDescent="0.25">
      <c r="A94" s="12"/>
      <c r="B94" s="13" t="s">
        <v>44</v>
      </c>
      <c r="C94" s="13">
        <v>378</v>
      </c>
      <c r="D94" s="13">
        <v>504</v>
      </c>
      <c r="E94" s="13">
        <f t="shared" si="59"/>
        <v>-126</v>
      </c>
      <c r="F94" s="14">
        <f t="shared" si="33"/>
        <v>0.75</v>
      </c>
      <c r="G94" s="13">
        <v>324</v>
      </c>
      <c r="H94" s="13">
        <v>552</v>
      </c>
      <c r="I94" s="13">
        <f t="shared" si="60"/>
        <v>-228</v>
      </c>
      <c r="J94" s="14">
        <f t="shared" si="35"/>
        <v>0.58695652173913049</v>
      </c>
      <c r="K94" s="13">
        <v>432</v>
      </c>
      <c r="L94" s="13">
        <v>552</v>
      </c>
      <c r="M94" s="13">
        <f>+K94-L94</f>
        <v>-120</v>
      </c>
      <c r="N94" s="14">
        <f t="shared" si="37"/>
        <v>0.78260869565217395</v>
      </c>
      <c r="O94" s="13">
        <v>312</v>
      </c>
      <c r="P94" s="13">
        <v>552</v>
      </c>
      <c r="Q94" s="13">
        <f t="shared" si="61"/>
        <v>-240</v>
      </c>
      <c r="R94" s="14">
        <f t="shared" si="39"/>
        <v>0.56521739130434778</v>
      </c>
      <c r="S94" s="15">
        <v>396</v>
      </c>
      <c r="T94" s="13">
        <v>552</v>
      </c>
      <c r="U94" s="15">
        <f>+S94-T94</f>
        <v>-156</v>
      </c>
      <c r="V94" s="14">
        <f t="shared" si="41"/>
        <v>0.71739130434782605</v>
      </c>
      <c r="W94" s="13">
        <v>0</v>
      </c>
      <c r="X94" s="13"/>
      <c r="Y94" s="13">
        <f t="shared" si="62"/>
        <v>0</v>
      </c>
      <c r="Z94" s="14" t="e">
        <f t="shared" si="43"/>
        <v>#DIV/0!</v>
      </c>
      <c r="AA94" s="16"/>
      <c r="AB94" s="15">
        <f t="shared" si="63"/>
        <v>1842</v>
      </c>
      <c r="AC94" s="15">
        <f t="shared" si="63"/>
        <v>2712</v>
      </c>
      <c r="AD94" s="15">
        <f>+AB94-AC94</f>
        <v>-870</v>
      </c>
      <c r="AE94" s="14">
        <f t="shared" si="45"/>
        <v>0.67920353982300885</v>
      </c>
    </row>
    <row r="95" spans="1:31" ht="30" hidden="1" customHeight="1" x14ac:dyDescent="0.25">
      <c r="A95" s="12"/>
      <c r="B95" s="13" t="s">
        <v>45</v>
      </c>
      <c r="C95" s="13">
        <v>684</v>
      </c>
      <c r="D95" s="13">
        <v>672</v>
      </c>
      <c r="E95" s="13">
        <f t="shared" si="59"/>
        <v>12</v>
      </c>
      <c r="F95" s="14">
        <f t="shared" si="33"/>
        <v>1.0178571428571428</v>
      </c>
      <c r="G95" s="13">
        <v>642</v>
      </c>
      <c r="H95" s="13">
        <v>768</v>
      </c>
      <c r="I95" s="13">
        <f t="shared" si="60"/>
        <v>-126</v>
      </c>
      <c r="J95" s="14">
        <f t="shared" si="35"/>
        <v>0.8359375</v>
      </c>
      <c r="K95" s="13">
        <v>702</v>
      </c>
      <c r="L95" s="13">
        <v>768</v>
      </c>
      <c r="M95" s="13">
        <f>+K95-L95</f>
        <v>-66</v>
      </c>
      <c r="N95" s="14">
        <f t="shared" si="37"/>
        <v>0.9140625</v>
      </c>
      <c r="O95" s="13">
        <v>684</v>
      </c>
      <c r="P95" s="13">
        <v>768</v>
      </c>
      <c r="Q95" s="13">
        <f t="shared" si="61"/>
        <v>-84</v>
      </c>
      <c r="R95" s="14">
        <f t="shared" si="39"/>
        <v>0.890625</v>
      </c>
      <c r="S95" s="15">
        <v>612</v>
      </c>
      <c r="T95" s="13">
        <v>672</v>
      </c>
      <c r="U95" s="15">
        <f>+S95-T95</f>
        <v>-60</v>
      </c>
      <c r="V95" s="14">
        <f t="shared" si="41"/>
        <v>0.9107142857142857</v>
      </c>
      <c r="W95" s="13">
        <v>0</v>
      </c>
      <c r="X95" s="13"/>
      <c r="Y95" s="13">
        <f t="shared" si="62"/>
        <v>0</v>
      </c>
      <c r="Z95" s="14" t="e">
        <f t="shared" si="43"/>
        <v>#DIV/0!</v>
      </c>
      <c r="AA95" s="16"/>
      <c r="AB95" s="15">
        <f t="shared" si="63"/>
        <v>3324</v>
      </c>
      <c r="AC95" s="15">
        <f t="shared" si="63"/>
        <v>3648</v>
      </c>
      <c r="AD95" s="15">
        <f>+AB95-AC95</f>
        <v>-324</v>
      </c>
      <c r="AE95" s="14">
        <f t="shared" si="45"/>
        <v>0.91118421052631582</v>
      </c>
    </row>
    <row r="96" spans="1:31" ht="30" hidden="1" customHeight="1" x14ac:dyDescent="0.25">
      <c r="A96" s="12"/>
      <c r="B96" s="13" t="s">
        <v>46</v>
      </c>
      <c r="C96" s="13">
        <v>528</v>
      </c>
      <c r="D96" s="13">
        <v>672</v>
      </c>
      <c r="E96" s="13">
        <f t="shared" si="59"/>
        <v>-144</v>
      </c>
      <c r="F96" s="14">
        <f t="shared" si="33"/>
        <v>0.7857142857142857</v>
      </c>
      <c r="G96" s="13">
        <v>528</v>
      </c>
      <c r="H96" s="13">
        <v>768</v>
      </c>
      <c r="I96" s="13">
        <f t="shared" si="60"/>
        <v>-240</v>
      </c>
      <c r="J96" s="14">
        <f t="shared" si="35"/>
        <v>0.6875</v>
      </c>
      <c r="K96" s="13">
        <v>468</v>
      </c>
      <c r="L96" s="13">
        <v>672</v>
      </c>
      <c r="M96" s="13">
        <f>+K96-L96</f>
        <v>-204</v>
      </c>
      <c r="N96" s="14">
        <f t="shared" si="37"/>
        <v>0.6964285714285714</v>
      </c>
      <c r="O96" s="13">
        <v>636</v>
      </c>
      <c r="P96" s="13">
        <v>768</v>
      </c>
      <c r="Q96" s="13">
        <f t="shared" si="61"/>
        <v>-132</v>
      </c>
      <c r="R96" s="14">
        <f t="shared" si="39"/>
        <v>0.828125</v>
      </c>
      <c r="S96" s="15">
        <v>492</v>
      </c>
      <c r="T96" s="13">
        <v>672</v>
      </c>
      <c r="U96" s="15">
        <f>+S96-T96</f>
        <v>-180</v>
      </c>
      <c r="V96" s="14">
        <f t="shared" si="41"/>
        <v>0.7321428571428571</v>
      </c>
      <c r="W96" s="13">
        <v>0</v>
      </c>
      <c r="X96" s="13"/>
      <c r="Y96" s="13">
        <f t="shared" si="62"/>
        <v>0</v>
      </c>
      <c r="Z96" s="14" t="e">
        <f t="shared" si="43"/>
        <v>#DIV/0!</v>
      </c>
      <c r="AA96" s="16"/>
      <c r="AB96" s="15">
        <f t="shared" si="63"/>
        <v>2652</v>
      </c>
      <c r="AC96" s="15">
        <f t="shared" si="63"/>
        <v>3552</v>
      </c>
      <c r="AD96" s="15">
        <f>+AB96-AC96</f>
        <v>-900</v>
      </c>
      <c r="AE96" s="14">
        <f t="shared" si="45"/>
        <v>0.7466216216216216</v>
      </c>
    </row>
    <row r="97" spans="1:31" ht="30" hidden="1" customHeight="1" x14ac:dyDescent="0.25">
      <c r="A97" s="12"/>
      <c r="B97" s="13" t="s">
        <v>47</v>
      </c>
      <c r="C97" s="13">
        <v>324</v>
      </c>
      <c r="D97" s="13">
        <v>360</v>
      </c>
      <c r="E97" s="13">
        <f t="shared" si="59"/>
        <v>-36</v>
      </c>
      <c r="F97" s="14">
        <f t="shared" si="33"/>
        <v>0.9</v>
      </c>
      <c r="G97" s="13">
        <v>330</v>
      </c>
      <c r="H97" s="13">
        <v>360</v>
      </c>
      <c r="I97" s="13">
        <f t="shared" si="60"/>
        <v>-30</v>
      </c>
      <c r="J97" s="14">
        <f t="shared" si="35"/>
        <v>0.91666666666666663</v>
      </c>
      <c r="K97" s="13">
        <v>360</v>
      </c>
      <c r="L97" s="13">
        <v>408</v>
      </c>
      <c r="M97" s="13">
        <f>+K97-L97</f>
        <v>-48</v>
      </c>
      <c r="N97" s="14">
        <f t="shared" si="37"/>
        <v>0.88235294117647056</v>
      </c>
      <c r="O97" s="13">
        <v>288</v>
      </c>
      <c r="P97" s="13">
        <v>408</v>
      </c>
      <c r="Q97" s="13">
        <f t="shared" si="61"/>
        <v>-120</v>
      </c>
      <c r="R97" s="14">
        <f t="shared" si="39"/>
        <v>0.70588235294117652</v>
      </c>
      <c r="S97" s="15">
        <v>288</v>
      </c>
      <c r="T97" s="13">
        <v>408</v>
      </c>
      <c r="U97" s="15">
        <f>+S97-T97</f>
        <v>-120</v>
      </c>
      <c r="V97" s="14">
        <f t="shared" si="41"/>
        <v>0.70588235294117652</v>
      </c>
      <c r="W97" s="13">
        <v>0</v>
      </c>
      <c r="X97" s="13"/>
      <c r="Y97" s="13">
        <f t="shared" si="62"/>
        <v>0</v>
      </c>
      <c r="Z97" s="14" t="e">
        <f t="shared" si="43"/>
        <v>#DIV/0!</v>
      </c>
      <c r="AA97" s="16"/>
      <c r="AB97" s="15">
        <f t="shared" si="63"/>
        <v>1590</v>
      </c>
      <c r="AC97" s="15">
        <f t="shared" si="63"/>
        <v>1944</v>
      </c>
      <c r="AD97" s="15">
        <f>+AB97-AC97</f>
        <v>-354</v>
      </c>
      <c r="AE97" s="14">
        <f t="shared" si="45"/>
        <v>0.8179012345679012</v>
      </c>
    </row>
    <row r="98" spans="1:31" ht="30" hidden="1" customHeight="1" x14ac:dyDescent="0.25">
      <c r="A98" s="12"/>
      <c r="B98" s="17" t="s">
        <v>22</v>
      </c>
      <c r="C98" s="17">
        <f>SUM(C92:C97)</f>
        <v>3210</v>
      </c>
      <c r="D98" s="17">
        <f>SUM(D92:D97)</f>
        <v>3384</v>
      </c>
      <c r="E98" s="17">
        <f>C98-D98</f>
        <v>-174</v>
      </c>
      <c r="F98" s="18">
        <f t="shared" si="33"/>
        <v>0.9485815602836879</v>
      </c>
      <c r="G98" s="17">
        <f>SUM(G92:G97)</f>
        <v>3096</v>
      </c>
      <c r="H98" s="17">
        <f>SUM(H92:H97)</f>
        <v>3624</v>
      </c>
      <c r="I98" s="17">
        <f>G98-H98</f>
        <v>-528</v>
      </c>
      <c r="J98" s="18">
        <f t="shared" si="35"/>
        <v>0.85430463576158944</v>
      </c>
      <c r="K98" s="17">
        <f>SUM(K92:K97)</f>
        <v>3294</v>
      </c>
      <c r="L98" s="17">
        <f>SUM(L92:L97)</f>
        <v>3648</v>
      </c>
      <c r="M98" s="17">
        <f>+K98-L98</f>
        <v>-354</v>
      </c>
      <c r="N98" s="18">
        <f t="shared" si="37"/>
        <v>0.90296052631578949</v>
      </c>
      <c r="O98" s="17">
        <f>SUM(O92:O97)</f>
        <v>3180</v>
      </c>
      <c r="P98" s="17">
        <f>SUM(P92:P97)</f>
        <v>3744</v>
      </c>
      <c r="Q98" s="17">
        <f>O98-P98</f>
        <v>-564</v>
      </c>
      <c r="R98" s="18">
        <f t="shared" si="39"/>
        <v>0.84935897435897434</v>
      </c>
      <c r="S98" s="17">
        <f>SUM(S92:S97)</f>
        <v>2928</v>
      </c>
      <c r="T98" s="17">
        <f>SUM(T92:T97)</f>
        <v>3456</v>
      </c>
      <c r="U98" s="17">
        <f>+S98-T98</f>
        <v>-528</v>
      </c>
      <c r="V98" s="18">
        <f t="shared" si="41"/>
        <v>0.84722222222222221</v>
      </c>
      <c r="W98" s="17">
        <f>SUM(W92:W97)</f>
        <v>492</v>
      </c>
      <c r="X98" s="17">
        <f>SUM(X92:X97)</f>
        <v>420</v>
      </c>
      <c r="Y98" s="17">
        <f>W98-X98</f>
        <v>72</v>
      </c>
      <c r="Z98" s="18">
        <f t="shared" si="43"/>
        <v>1.1714285714285715</v>
      </c>
      <c r="AA98" s="19">
        <f>SUM(AA92:AA97)</f>
        <v>0</v>
      </c>
      <c r="AB98" s="17">
        <f>SUM(AB92:AB97)</f>
        <v>16200</v>
      </c>
      <c r="AC98" s="17">
        <f>SUM(AC92:AC97)</f>
        <v>18276</v>
      </c>
      <c r="AD98" s="17">
        <f>+AB98-AC98</f>
        <v>-2076</v>
      </c>
      <c r="AE98" s="18">
        <f t="shared" si="45"/>
        <v>0.88640840446487201</v>
      </c>
    </row>
    <row r="99" spans="1:31" ht="30" hidden="1" customHeight="1" x14ac:dyDescent="0.25">
      <c r="A99" s="20" t="s">
        <v>48</v>
      </c>
      <c r="B99" s="20"/>
      <c r="C99" s="19">
        <f>SUM(C91,C98)</f>
        <v>9966</v>
      </c>
      <c r="D99" s="19">
        <f>SUM(D91,D98)</f>
        <v>10488</v>
      </c>
      <c r="E99" s="19">
        <f>C99-D99</f>
        <v>-522</v>
      </c>
      <c r="F99" s="21">
        <f t="shared" si="33"/>
        <v>0.95022883295194505</v>
      </c>
      <c r="G99" s="19">
        <f>SUM(G91,G98)</f>
        <v>8838</v>
      </c>
      <c r="H99" s="19">
        <f>SUM(H91,H98)</f>
        <v>10632</v>
      </c>
      <c r="I99" s="19">
        <f>G99-H99</f>
        <v>-1794</v>
      </c>
      <c r="J99" s="21">
        <f t="shared" si="35"/>
        <v>0.83126410835214448</v>
      </c>
      <c r="K99" s="19">
        <f>SUM(K91,K98)</f>
        <v>9636</v>
      </c>
      <c r="L99" s="19">
        <f>SUM(L91,L98)</f>
        <v>10560</v>
      </c>
      <c r="M99" s="19">
        <f>K99-L99</f>
        <v>-924</v>
      </c>
      <c r="N99" s="21">
        <f t="shared" si="37"/>
        <v>0.91249999999999998</v>
      </c>
      <c r="O99" s="19">
        <f>SUM(O91,O98)</f>
        <v>9702</v>
      </c>
      <c r="P99" s="19">
        <f>SUM(P91,P98)</f>
        <v>10752</v>
      </c>
      <c r="Q99" s="19">
        <f>O99-P99</f>
        <v>-1050</v>
      </c>
      <c r="R99" s="21">
        <f t="shared" si="39"/>
        <v>0.90234375</v>
      </c>
      <c r="S99" s="19">
        <f>SUM(S91,S98)</f>
        <v>8937</v>
      </c>
      <c r="T99" s="19">
        <f>SUM(T91,T98)</f>
        <v>10176</v>
      </c>
      <c r="U99" s="19">
        <f>S99-T99</f>
        <v>-1239</v>
      </c>
      <c r="V99" s="21">
        <f t="shared" si="41"/>
        <v>0.87824292452830188</v>
      </c>
      <c r="W99" s="19">
        <f>SUM(W91,W98)</f>
        <v>2004</v>
      </c>
      <c r="X99" s="19">
        <f>SUM(X91,X98)</f>
        <v>2184</v>
      </c>
      <c r="Y99" s="19">
        <f>W99-X99</f>
        <v>-180</v>
      </c>
      <c r="Z99" s="21">
        <f t="shared" si="43"/>
        <v>0.91758241758241754</v>
      </c>
      <c r="AA99" s="19">
        <f>SUM(AA91,AA98)</f>
        <v>0</v>
      </c>
      <c r="AB99" s="19">
        <f>SUM(AB91,AB98)</f>
        <v>49083</v>
      </c>
      <c r="AC99" s="19">
        <f>SUM(AC91,AC98)</f>
        <v>54792</v>
      </c>
      <c r="AD99" s="19">
        <f>AB99-AC99</f>
        <v>-5709</v>
      </c>
      <c r="AE99" s="21">
        <f t="shared" si="45"/>
        <v>0.89580595707402544</v>
      </c>
    </row>
    <row r="100" spans="1:31" ht="30" hidden="1" customHeight="1" x14ac:dyDescent="0.25">
      <c r="A100" s="22" t="s">
        <v>49</v>
      </c>
      <c r="B100" s="22"/>
      <c r="C100" s="23">
        <f>+C80-C99</f>
        <v>-396</v>
      </c>
      <c r="D100" s="23"/>
      <c r="E100" s="24"/>
      <c r="F100" s="23"/>
      <c r="G100" s="23">
        <f>+G80-G99</f>
        <v>499</v>
      </c>
      <c r="H100" s="23"/>
      <c r="I100" s="24"/>
      <c r="J100" s="23"/>
      <c r="K100" s="23">
        <f>+K80-K99</f>
        <v>-720</v>
      </c>
      <c r="L100" s="23"/>
      <c r="M100" s="24"/>
      <c r="N100" s="23"/>
      <c r="O100" s="23">
        <f>+O80-O99</f>
        <v>-181</v>
      </c>
      <c r="P100" s="23"/>
      <c r="Q100" s="24"/>
      <c r="R100" s="23"/>
      <c r="S100" s="23">
        <f>+S80-S99</f>
        <v>-327</v>
      </c>
      <c r="T100" s="23"/>
      <c r="U100" s="24"/>
      <c r="V100" s="23"/>
      <c r="W100" s="23">
        <f>+W80-W99</f>
        <v>2364</v>
      </c>
      <c r="X100" s="23"/>
      <c r="Y100" s="24"/>
      <c r="Z100" s="23"/>
      <c r="AA100" s="23">
        <f>+AA79-AA98</f>
        <v>0</v>
      </c>
      <c r="AB100" s="23">
        <f>+AB80-AB99</f>
        <v>1239</v>
      </c>
      <c r="AC100" s="24"/>
      <c r="AD100" s="24"/>
      <c r="AE100" s="24"/>
    </row>
    <row r="101" spans="1:31" hidden="1" x14ac:dyDescent="0.25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</row>
    <row r="102" spans="1:31" ht="15.75" hidden="1" x14ac:dyDescent="0.25">
      <c r="A102" s="26" t="s">
        <v>50</v>
      </c>
      <c r="B102" s="27" t="s">
        <v>51</v>
      </c>
      <c r="C102" s="27">
        <v>9570</v>
      </c>
      <c r="D102" s="27"/>
      <c r="E102" s="27"/>
      <c r="F102" s="27"/>
      <c r="G102" s="27">
        <v>9337</v>
      </c>
      <c r="H102" s="27"/>
      <c r="I102" s="27"/>
      <c r="J102" s="27"/>
      <c r="K102" s="27">
        <v>8916</v>
      </c>
      <c r="L102" s="27"/>
      <c r="M102" s="27"/>
      <c r="N102" s="27"/>
      <c r="O102" s="27">
        <v>9521</v>
      </c>
      <c r="P102" s="27"/>
      <c r="Q102" s="27"/>
      <c r="R102" s="27"/>
      <c r="S102" s="27">
        <v>8610</v>
      </c>
      <c r="T102" s="27"/>
      <c r="U102" s="27"/>
      <c r="V102" s="27"/>
      <c r="W102" s="27">
        <v>4368</v>
      </c>
      <c r="X102" s="27"/>
      <c r="Y102" s="27"/>
      <c r="Z102" s="27"/>
      <c r="AA102" s="27"/>
      <c r="AB102" s="27">
        <f>SUM(C102:AA102)</f>
        <v>50322</v>
      </c>
      <c r="AC102" s="27"/>
      <c r="AD102" s="27"/>
      <c r="AE102" s="27"/>
    </row>
    <row r="103" spans="1:31" ht="15.75" hidden="1" x14ac:dyDescent="0.25">
      <c r="A103" s="26"/>
      <c r="B103" s="27" t="s">
        <v>52</v>
      </c>
      <c r="C103" s="27">
        <v>9966</v>
      </c>
      <c r="D103" s="27"/>
      <c r="E103" s="27"/>
      <c r="F103" s="27"/>
      <c r="G103" s="27">
        <v>8838</v>
      </c>
      <c r="H103" s="27"/>
      <c r="I103" s="27"/>
      <c r="J103" s="27"/>
      <c r="K103" s="27">
        <v>9636</v>
      </c>
      <c r="L103" s="27"/>
      <c r="M103" s="27"/>
      <c r="N103" s="27"/>
      <c r="O103" s="27">
        <v>9702</v>
      </c>
      <c r="P103" s="27"/>
      <c r="Q103" s="27"/>
      <c r="R103" s="27"/>
      <c r="S103" s="27">
        <v>8937</v>
      </c>
      <c r="T103" s="27"/>
      <c r="U103" s="27"/>
      <c r="V103" s="27"/>
      <c r="W103" s="27">
        <v>2004</v>
      </c>
      <c r="X103" s="27"/>
      <c r="Y103" s="27"/>
      <c r="Z103" s="27"/>
      <c r="AA103" s="27"/>
      <c r="AB103" s="27">
        <f>SUM(C103:AA103)</f>
        <v>49083</v>
      </c>
      <c r="AC103" s="27"/>
      <c r="AD103" s="27"/>
      <c r="AE103" s="27"/>
    </row>
    <row r="104" spans="1:31" ht="15.75" hidden="1" x14ac:dyDescent="0.25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</row>
    <row r="105" spans="1:31" ht="15.75" hidden="1" x14ac:dyDescent="0.25">
      <c r="A105" s="27"/>
      <c r="B105" s="27"/>
      <c r="C105" s="27" t="b">
        <f>C80=C102</f>
        <v>1</v>
      </c>
      <c r="D105" s="27"/>
      <c r="E105" s="27"/>
      <c r="F105" s="27"/>
      <c r="G105" s="27" t="b">
        <f>G80=G102</f>
        <v>1</v>
      </c>
      <c r="H105" s="27"/>
      <c r="I105" s="27"/>
      <c r="J105" s="27"/>
      <c r="K105" s="27" t="b">
        <f>K80=K102</f>
        <v>1</v>
      </c>
      <c r="L105" s="27"/>
      <c r="M105" s="27"/>
      <c r="N105" s="27"/>
      <c r="O105" s="27" t="b">
        <f>O80=O102</f>
        <v>1</v>
      </c>
      <c r="P105" s="27"/>
      <c r="Q105" s="27"/>
      <c r="R105" s="27"/>
      <c r="S105" s="27" t="b">
        <f>S80=S102</f>
        <v>1</v>
      </c>
      <c r="T105" s="27"/>
      <c r="U105" s="27"/>
      <c r="V105" s="27"/>
      <c r="W105" s="27" t="b">
        <f>W80=W102</f>
        <v>1</v>
      </c>
      <c r="X105" s="27"/>
      <c r="Y105" s="27"/>
      <c r="Z105" s="27"/>
      <c r="AA105" s="27"/>
      <c r="AB105" s="27" t="b">
        <f>AB102=AB80</f>
        <v>1</v>
      </c>
      <c r="AC105" s="27"/>
      <c r="AD105" s="27"/>
      <c r="AE105" s="27"/>
    </row>
    <row r="106" spans="1:31" ht="15.75" hidden="1" x14ac:dyDescent="0.25">
      <c r="A106" s="27"/>
      <c r="B106" s="27"/>
      <c r="C106" s="27" t="b">
        <f>C103=C99</f>
        <v>1</v>
      </c>
      <c r="D106" s="27"/>
      <c r="E106" s="27"/>
      <c r="F106" s="27"/>
      <c r="G106" s="27" t="b">
        <f>G103=G99</f>
        <v>1</v>
      </c>
      <c r="H106" s="27"/>
      <c r="I106" s="27"/>
      <c r="J106" s="27"/>
      <c r="K106" s="27" t="b">
        <f>K103=K99</f>
        <v>1</v>
      </c>
      <c r="L106" s="27"/>
      <c r="M106" s="27"/>
      <c r="N106" s="27"/>
      <c r="O106" s="27" t="b">
        <f>O103=O99</f>
        <v>1</v>
      </c>
      <c r="P106" s="27"/>
      <c r="Q106" s="27"/>
      <c r="R106" s="27"/>
      <c r="S106" s="27" t="b">
        <f>S103=S99</f>
        <v>1</v>
      </c>
      <c r="T106" s="27"/>
      <c r="U106" s="27"/>
      <c r="V106" s="27"/>
      <c r="W106" s="27" t="b">
        <f>W103=W99</f>
        <v>1</v>
      </c>
      <c r="X106" s="27"/>
      <c r="Y106" s="27"/>
      <c r="Z106" s="27"/>
      <c r="AA106" s="27"/>
      <c r="AB106" s="27" t="b">
        <f>AB103=AB99</f>
        <v>1</v>
      </c>
      <c r="AC106" s="27"/>
      <c r="AD106" s="27"/>
      <c r="AE106" s="27"/>
    </row>
    <row r="107" spans="1:31" hidden="1" x14ac:dyDescent="0.25"/>
    <row r="108" spans="1:31" ht="21" hidden="1" x14ac:dyDescent="0.25">
      <c r="A108" s="1" t="s">
        <v>0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21" hidden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spans="1:31" ht="30" hidden="1" customHeight="1" x14ac:dyDescent="0.25">
      <c r="A110" s="3"/>
      <c r="B110" s="3" t="s">
        <v>1</v>
      </c>
      <c r="C110" s="3" t="s">
        <v>55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 spans="1:31" ht="30" hidden="1" customHeight="1" x14ac:dyDescent="0.25">
      <c r="A111" s="3"/>
      <c r="B111" s="3"/>
      <c r="C111" s="4">
        <v>46252</v>
      </c>
      <c r="D111" s="4"/>
      <c r="E111" s="4"/>
      <c r="F111" s="4"/>
      <c r="G111" s="4">
        <v>46253</v>
      </c>
      <c r="H111" s="4"/>
      <c r="I111" s="4"/>
      <c r="J111" s="4"/>
      <c r="K111" s="4">
        <v>46254</v>
      </c>
      <c r="L111" s="4"/>
      <c r="M111" s="4"/>
      <c r="N111" s="4"/>
      <c r="O111" s="4">
        <v>46255</v>
      </c>
      <c r="P111" s="4"/>
      <c r="Q111" s="4"/>
      <c r="R111" s="4"/>
      <c r="S111" s="4">
        <v>46256</v>
      </c>
      <c r="T111" s="4"/>
      <c r="U111" s="4"/>
      <c r="V111" s="4"/>
      <c r="W111" s="5">
        <v>46257</v>
      </c>
      <c r="X111" s="6"/>
      <c r="Y111" s="6"/>
      <c r="Z111" s="7"/>
      <c r="AA111" s="8"/>
      <c r="AB111" s="9" t="s">
        <v>56</v>
      </c>
      <c r="AC111" s="9"/>
      <c r="AD111" s="9"/>
      <c r="AE111" s="9"/>
    </row>
    <row r="112" spans="1:31" ht="30" hidden="1" customHeight="1" x14ac:dyDescent="0.25">
      <c r="A112" s="3"/>
      <c r="B112" s="3" t="s">
        <v>1</v>
      </c>
      <c r="C112" s="10" t="s">
        <v>4</v>
      </c>
      <c r="D112" s="10" t="s">
        <v>5</v>
      </c>
      <c r="E112" s="10" t="s">
        <v>6</v>
      </c>
      <c r="F112" s="10" t="s">
        <v>7</v>
      </c>
      <c r="G112" s="10" t="s">
        <v>4</v>
      </c>
      <c r="H112" s="10" t="s">
        <v>5</v>
      </c>
      <c r="I112" s="10" t="s">
        <v>6</v>
      </c>
      <c r="J112" s="10" t="s">
        <v>7</v>
      </c>
      <c r="K112" s="10" t="s">
        <v>4</v>
      </c>
      <c r="L112" s="10" t="s">
        <v>5</v>
      </c>
      <c r="M112" s="10" t="s">
        <v>6</v>
      </c>
      <c r="N112" s="10" t="s">
        <v>7</v>
      </c>
      <c r="O112" s="10" t="s">
        <v>4</v>
      </c>
      <c r="P112" s="10" t="s">
        <v>5</v>
      </c>
      <c r="Q112" s="10" t="s">
        <v>6</v>
      </c>
      <c r="R112" s="10" t="s">
        <v>7</v>
      </c>
      <c r="S112" s="10" t="s">
        <v>4</v>
      </c>
      <c r="T112" s="10" t="s">
        <v>5</v>
      </c>
      <c r="U112" s="10" t="s">
        <v>6</v>
      </c>
      <c r="V112" s="10" t="s">
        <v>7</v>
      </c>
      <c r="W112" s="10" t="s">
        <v>4</v>
      </c>
      <c r="X112" s="10" t="s">
        <v>5</v>
      </c>
      <c r="Y112" s="10" t="s">
        <v>6</v>
      </c>
      <c r="Z112" s="10" t="s">
        <v>7</v>
      </c>
      <c r="AA112" s="8"/>
      <c r="AB112" s="11" t="s">
        <v>8</v>
      </c>
      <c r="AC112" s="11" t="s">
        <v>9</v>
      </c>
      <c r="AD112" s="11" t="s">
        <v>6</v>
      </c>
      <c r="AE112" s="11" t="s">
        <v>7</v>
      </c>
    </row>
    <row r="113" spans="1:31" ht="30" hidden="1" customHeight="1" x14ac:dyDescent="0.25">
      <c r="A113" s="12" t="s">
        <v>10</v>
      </c>
      <c r="B113" s="13" t="s">
        <v>11</v>
      </c>
      <c r="C113" s="13">
        <v>756</v>
      </c>
      <c r="D113" s="13">
        <v>768</v>
      </c>
      <c r="E113" s="13">
        <f t="shared" ref="E113:E122" si="64">+C113-D113</f>
        <v>-12</v>
      </c>
      <c r="F113" s="14">
        <f t="shared" ref="F113:F152" si="65">+C113/D113</f>
        <v>0.984375</v>
      </c>
      <c r="G113" s="13">
        <v>744</v>
      </c>
      <c r="H113" s="13">
        <v>768</v>
      </c>
      <c r="I113" s="13">
        <f t="shared" ref="I113:I122" si="66">+G113-H113</f>
        <v>-24</v>
      </c>
      <c r="J113" s="14">
        <f t="shared" ref="J113:J152" si="67">+G113/H113</f>
        <v>0.96875</v>
      </c>
      <c r="K113" s="13">
        <v>444</v>
      </c>
      <c r="L113" s="13">
        <v>672</v>
      </c>
      <c r="M113" s="13">
        <f t="shared" ref="M113:M129" si="68">+K113-L113</f>
        <v>-228</v>
      </c>
      <c r="N113" s="14">
        <f t="shared" ref="N113:N152" si="69">+K113/L113</f>
        <v>0.6607142857142857</v>
      </c>
      <c r="O113" s="13">
        <v>444</v>
      </c>
      <c r="P113" s="13">
        <v>672</v>
      </c>
      <c r="Q113" s="13">
        <f t="shared" ref="Q113:Q122" si="70">+O113-P113</f>
        <v>-228</v>
      </c>
      <c r="R113" s="14">
        <f t="shared" ref="R113:R152" si="71">+O113/P113</f>
        <v>0.6607142857142857</v>
      </c>
      <c r="S113" s="15">
        <v>402</v>
      </c>
      <c r="T113" s="13">
        <v>588</v>
      </c>
      <c r="U113" s="15">
        <f t="shared" ref="U113:U129" si="72">+S113-T113</f>
        <v>-186</v>
      </c>
      <c r="V113" s="14">
        <f>+S113/T113</f>
        <v>0.68367346938775508</v>
      </c>
      <c r="W113" s="13"/>
      <c r="X113" s="13"/>
      <c r="Y113" s="13">
        <f t="shared" ref="Y113:Y132" si="73">+W113-X113</f>
        <v>0</v>
      </c>
      <c r="Z113" s="14" t="e">
        <f t="shared" ref="Z113:Z152" si="74">+W113/X113</f>
        <v>#DIV/0!</v>
      </c>
      <c r="AA113" s="16"/>
      <c r="AB113" s="15">
        <f t="shared" ref="AB113:AC123" si="75">+C113+G113+K113+O113+S113+W113</f>
        <v>2790</v>
      </c>
      <c r="AC113" s="15">
        <f t="shared" si="75"/>
        <v>3468</v>
      </c>
      <c r="AD113" s="15">
        <f>+AB113-AC113</f>
        <v>-678</v>
      </c>
      <c r="AE113" s="14">
        <f t="shared" ref="AE113:AE152" si="76">+AB113/AC113</f>
        <v>0.80449826989619377</v>
      </c>
    </row>
    <row r="114" spans="1:31" ht="30" hidden="1" customHeight="1" x14ac:dyDescent="0.25">
      <c r="A114" s="12"/>
      <c r="B114" s="13" t="s">
        <v>12</v>
      </c>
      <c r="C114" s="13">
        <v>570</v>
      </c>
      <c r="D114" s="13">
        <v>768</v>
      </c>
      <c r="E114" s="13">
        <f t="shared" si="64"/>
        <v>-198</v>
      </c>
      <c r="F114" s="14">
        <f t="shared" si="65"/>
        <v>0.7421875</v>
      </c>
      <c r="G114" s="13">
        <v>672</v>
      </c>
      <c r="H114" s="13">
        <v>768</v>
      </c>
      <c r="I114" s="13">
        <f t="shared" si="66"/>
        <v>-96</v>
      </c>
      <c r="J114" s="14">
        <f t="shared" si="67"/>
        <v>0.875</v>
      </c>
      <c r="K114" s="13">
        <v>480</v>
      </c>
      <c r="L114" s="13">
        <v>672</v>
      </c>
      <c r="M114" s="13">
        <f t="shared" si="68"/>
        <v>-192</v>
      </c>
      <c r="N114" s="14">
        <f t="shared" si="69"/>
        <v>0.7142857142857143</v>
      </c>
      <c r="O114" s="13">
        <v>546</v>
      </c>
      <c r="P114" s="13">
        <v>672</v>
      </c>
      <c r="Q114" s="13">
        <f t="shared" si="70"/>
        <v>-126</v>
      </c>
      <c r="R114" s="14">
        <f t="shared" si="71"/>
        <v>0.8125</v>
      </c>
      <c r="S114" s="15">
        <v>516</v>
      </c>
      <c r="T114" s="13">
        <v>588</v>
      </c>
      <c r="U114" s="15">
        <f t="shared" si="72"/>
        <v>-72</v>
      </c>
      <c r="V114" s="14">
        <f t="shared" ref="V114:V152" si="77">+S114/T114</f>
        <v>0.87755102040816324</v>
      </c>
      <c r="W114" s="13"/>
      <c r="X114" s="13"/>
      <c r="Y114" s="13">
        <f t="shared" si="73"/>
        <v>0</v>
      </c>
      <c r="Z114" s="14" t="e">
        <f t="shared" si="74"/>
        <v>#DIV/0!</v>
      </c>
      <c r="AA114" s="16"/>
      <c r="AB114" s="15">
        <f t="shared" si="75"/>
        <v>2784</v>
      </c>
      <c r="AC114" s="15">
        <f t="shared" si="75"/>
        <v>3468</v>
      </c>
      <c r="AD114" s="15">
        <f t="shared" ref="AD114:AD132" si="78">+AB114-AC114</f>
        <v>-684</v>
      </c>
      <c r="AE114" s="14">
        <f t="shared" si="76"/>
        <v>0.80276816608996537</v>
      </c>
    </row>
    <row r="115" spans="1:31" ht="30" hidden="1" customHeight="1" x14ac:dyDescent="0.25">
      <c r="A115" s="12"/>
      <c r="B115" s="13" t="s">
        <v>13</v>
      </c>
      <c r="C115" s="13">
        <v>600</v>
      </c>
      <c r="D115" s="13">
        <v>768</v>
      </c>
      <c r="E115" s="13">
        <f t="shared" si="64"/>
        <v>-168</v>
      </c>
      <c r="F115" s="14">
        <f t="shared" si="65"/>
        <v>0.78125</v>
      </c>
      <c r="G115" s="13">
        <v>636</v>
      </c>
      <c r="H115" s="13">
        <v>768</v>
      </c>
      <c r="I115" s="13">
        <f t="shared" si="66"/>
        <v>-132</v>
      </c>
      <c r="J115" s="14">
        <f t="shared" si="67"/>
        <v>0.828125</v>
      </c>
      <c r="K115" s="13">
        <v>552</v>
      </c>
      <c r="L115" s="13">
        <v>768</v>
      </c>
      <c r="M115" s="13">
        <f t="shared" si="68"/>
        <v>-216</v>
      </c>
      <c r="N115" s="14">
        <f t="shared" si="69"/>
        <v>0.71875</v>
      </c>
      <c r="O115" s="13">
        <v>342</v>
      </c>
      <c r="P115" s="13">
        <v>672</v>
      </c>
      <c r="Q115" s="13">
        <f t="shared" si="70"/>
        <v>-330</v>
      </c>
      <c r="R115" s="14">
        <f t="shared" si="71"/>
        <v>0.5089285714285714</v>
      </c>
      <c r="S115" s="15"/>
      <c r="T115" s="13"/>
      <c r="U115" s="15">
        <f t="shared" si="72"/>
        <v>0</v>
      </c>
      <c r="V115" s="14">
        <v>0</v>
      </c>
      <c r="W115" s="13"/>
      <c r="X115" s="13"/>
      <c r="Y115" s="13">
        <f t="shared" si="73"/>
        <v>0</v>
      </c>
      <c r="Z115" s="14" t="e">
        <f t="shared" si="74"/>
        <v>#DIV/0!</v>
      </c>
      <c r="AA115" s="16"/>
      <c r="AB115" s="15">
        <f t="shared" si="75"/>
        <v>2130</v>
      </c>
      <c r="AC115" s="15">
        <f t="shared" si="75"/>
        <v>2976</v>
      </c>
      <c r="AD115" s="15">
        <f t="shared" si="78"/>
        <v>-846</v>
      </c>
      <c r="AE115" s="14">
        <f t="shared" si="76"/>
        <v>0.71572580645161288</v>
      </c>
    </row>
    <row r="116" spans="1:31" ht="30" hidden="1" customHeight="1" x14ac:dyDescent="0.25">
      <c r="A116" s="12"/>
      <c r="B116" s="13" t="s">
        <v>14</v>
      </c>
      <c r="C116" s="13">
        <v>522</v>
      </c>
      <c r="D116" s="13">
        <v>768</v>
      </c>
      <c r="E116" s="13">
        <f t="shared" si="64"/>
        <v>-246</v>
      </c>
      <c r="F116" s="14">
        <f t="shared" si="65"/>
        <v>0.6796875</v>
      </c>
      <c r="G116" s="13">
        <v>474</v>
      </c>
      <c r="H116" s="13">
        <v>768</v>
      </c>
      <c r="I116" s="13">
        <f t="shared" si="66"/>
        <v>-294</v>
      </c>
      <c r="J116" s="14">
        <f t="shared" si="67"/>
        <v>0.6171875</v>
      </c>
      <c r="K116" s="13">
        <v>660</v>
      </c>
      <c r="L116" s="13">
        <v>768</v>
      </c>
      <c r="M116" s="13">
        <f t="shared" si="68"/>
        <v>-108</v>
      </c>
      <c r="N116" s="14">
        <f t="shared" si="69"/>
        <v>0.859375</v>
      </c>
      <c r="O116" s="13">
        <v>714</v>
      </c>
      <c r="P116" s="13">
        <v>714</v>
      </c>
      <c r="Q116" s="13">
        <f t="shared" si="70"/>
        <v>0</v>
      </c>
      <c r="R116" s="14">
        <f t="shared" si="71"/>
        <v>1</v>
      </c>
      <c r="S116" s="15">
        <v>708</v>
      </c>
      <c r="T116" s="13">
        <v>588</v>
      </c>
      <c r="U116" s="15">
        <f t="shared" si="72"/>
        <v>120</v>
      </c>
      <c r="V116" s="14">
        <f t="shared" si="77"/>
        <v>1.2040816326530612</v>
      </c>
      <c r="W116" s="13"/>
      <c r="X116" s="13"/>
      <c r="Y116" s="13">
        <f t="shared" si="73"/>
        <v>0</v>
      </c>
      <c r="Z116" s="14" t="e">
        <f t="shared" si="74"/>
        <v>#DIV/0!</v>
      </c>
      <c r="AA116" s="16"/>
      <c r="AB116" s="15">
        <f t="shared" si="75"/>
        <v>3078</v>
      </c>
      <c r="AC116" s="15">
        <f t="shared" si="75"/>
        <v>3606</v>
      </c>
      <c r="AD116" s="15">
        <f t="shared" si="78"/>
        <v>-528</v>
      </c>
      <c r="AE116" s="14">
        <f t="shared" si="76"/>
        <v>0.85357737104825293</v>
      </c>
    </row>
    <row r="117" spans="1:31" ht="30" hidden="1" customHeight="1" x14ac:dyDescent="0.25">
      <c r="A117" s="12"/>
      <c r="B117" s="13" t="s">
        <v>15</v>
      </c>
      <c r="C117" s="13">
        <v>390</v>
      </c>
      <c r="D117" s="13">
        <v>768</v>
      </c>
      <c r="E117" s="13">
        <f t="shared" si="64"/>
        <v>-378</v>
      </c>
      <c r="F117" s="14">
        <f t="shared" si="65"/>
        <v>0.5078125</v>
      </c>
      <c r="G117" s="13">
        <v>624</v>
      </c>
      <c r="H117" s="13">
        <v>768</v>
      </c>
      <c r="I117" s="13">
        <f t="shared" si="66"/>
        <v>-144</v>
      </c>
      <c r="J117" s="14">
        <f t="shared" si="67"/>
        <v>0.8125</v>
      </c>
      <c r="K117" s="13">
        <v>534</v>
      </c>
      <c r="L117" s="13">
        <v>768</v>
      </c>
      <c r="M117" s="13">
        <f t="shared" si="68"/>
        <v>-234</v>
      </c>
      <c r="N117" s="14">
        <f t="shared" si="69"/>
        <v>0.6953125</v>
      </c>
      <c r="O117" s="13">
        <v>558</v>
      </c>
      <c r="P117" s="13">
        <v>714</v>
      </c>
      <c r="Q117" s="13">
        <f t="shared" si="70"/>
        <v>-156</v>
      </c>
      <c r="R117" s="14">
        <f t="shared" si="71"/>
        <v>0.78151260504201681</v>
      </c>
      <c r="S117" s="15">
        <v>510</v>
      </c>
      <c r="T117" s="13">
        <v>588</v>
      </c>
      <c r="U117" s="15">
        <f t="shared" si="72"/>
        <v>-78</v>
      </c>
      <c r="V117" s="14">
        <f t="shared" si="77"/>
        <v>0.86734693877551017</v>
      </c>
      <c r="W117" s="13"/>
      <c r="X117" s="13"/>
      <c r="Y117" s="13">
        <f t="shared" si="73"/>
        <v>0</v>
      </c>
      <c r="Z117" s="14" t="e">
        <f t="shared" si="74"/>
        <v>#DIV/0!</v>
      </c>
      <c r="AA117" s="16"/>
      <c r="AB117" s="15">
        <f t="shared" si="75"/>
        <v>2616</v>
      </c>
      <c r="AC117" s="15">
        <f t="shared" si="75"/>
        <v>3606</v>
      </c>
      <c r="AD117" s="15">
        <f t="shared" si="78"/>
        <v>-990</v>
      </c>
      <c r="AE117" s="14">
        <f t="shared" si="76"/>
        <v>0.72545757071547423</v>
      </c>
    </row>
    <row r="118" spans="1:31" ht="30" hidden="1" customHeight="1" x14ac:dyDescent="0.25">
      <c r="A118" s="12"/>
      <c r="B118" s="13" t="s">
        <v>16</v>
      </c>
      <c r="C118" s="13">
        <v>720</v>
      </c>
      <c r="D118" s="13">
        <v>768</v>
      </c>
      <c r="E118" s="13">
        <f t="shared" si="64"/>
        <v>-48</v>
      </c>
      <c r="F118" s="14">
        <f t="shared" si="65"/>
        <v>0.9375</v>
      </c>
      <c r="G118" s="13">
        <v>534</v>
      </c>
      <c r="H118" s="13">
        <v>768</v>
      </c>
      <c r="I118" s="13">
        <f t="shared" si="66"/>
        <v>-234</v>
      </c>
      <c r="J118" s="14">
        <f t="shared" si="67"/>
        <v>0.6953125</v>
      </c>
      <c r="K118" s="13">
        <v>636</v>
      </c>
      <c r="L118" s="13">
        <v>768</v>
      </c>
      <c r="M118" s="13">
        <f t="shared" si="68"/>
        <v>-132</v>
      </c>
      <c r="N118" s="14">
        <f t="shared" si="69"/>
        <v>0.828125</v>
      </c>
      <c r="O118" s="13">
        <v>624</v>
      </c>
      <c r="P118" s="13">
        <v>714</v>
      </c>
      <c r="Q118" s="13">
        <f t="shared" si="70"/>
        <v>-90</v>
      </c>
      <c r="R118" s="14">
        <f t="shared" si="71"/>
        <v>0.87394957983193278</v>
      </c>
      <c r="S118" s="15"/>
      <c r="T118" s="13"/>
      <c r="U118" s="15">
        <f t="shared" si="72"/>
        <v>0</v>
      </c>
      <c r="V118" s="14" t="e">
        <f t="shared" si="77"/>
        <v>#DIV/0!</v>
      </c>
      <c r="W118" s="13"/>
      <c r="X118" s="13"/>
      <c r="Y118" s="13">
        <f t="shared" si="73"/>
        <v>0</v>
      </c>
      <c r="Z118" s="14" t="e">
        <f t="shared" si="74"/>
        <v>#DIV/0!</v>
      </c>
      <c r="AA118" s="16"/>
      <c r="AB118" s="15">
        <f t="shared" si="75"/>
        <v>2514</v>
      </c>
      <c r="AC118" s="15">
        <f t="shared" si="75"/>
        <v>3018</v>
      </c>
      <c r="AD118" s="15">
        <f t="shared" si="78"/>
        <v>-504</v>
      </c>
      <c r="AE118" s="14">
        <f t="shared" si="76"/>
        <v>0.83300198807157055</v>
      </c>
    </row>
    <row r="119" spans="1:31" ht="30" hidden="1" customHeight="1" x14ac:dyDescent="0.25">
      <c r="A119" s="12"/>
      <c r="B119" s="13" t="s">
        <v>17</v>
      </c>
      <c r="C119" s="13">
        <v>666</v>
      </c>
      <c r="D119" s="13">
        <v>672</v>
      </c>
      <c r="E119" s="13">
        <f t="shared" si="64"/>
        <v>-6</v>
      </c>
      <c r="F119" s="14">
        <f t="shared" si="65"/>
        <v>0.9910714285714286</v>
      </c>
      <c r="G119" s="13">
        <v>624</v>
      </c>
      <c r="H119" s="13">
        <v>672</v>
      </c>
      <c r="I119" s="13">
        <f t="shared" si="66"/>
        <v>-48</v>
      </c>
      <c r="J119" s="14">
        <f t="shared" si="67"/>
        <v>0.9285714285714286</v>
      </c>
      <c r="K119" s="13">
        <v>720</v>
      </c>
      <c r="L119" s="13">
        <v>768</v>
      </c>
      <c r="M119" s="13">
        <f t="shared" si="68"/>
        <v>-48</v>
      </c>
      <c r="N119" s="14">
        <f t="shared" si="69"/>
        <v>0.9375</v>
      </c>
      <c r="O119" s="13">
        <v>708</v>
      </c>
      <c r="P119" s="15">
        <v>714</v>
      </c>
      <c r="Q119" s="13">
        <f t="shared" si="70"/>
        <v>-6</v>
      </c>
      <c r="R119" s="14">
        <f t="shared" si="71"/>
        <v>0.99159663865546221</v>
      </c>
      <c r="S119" s="15">
        <v>564</v>
      </c>
      <c r="T119" s="13">
        <v>588</v>
      </c>
      <c r="U119" s="15">
        <f t="shared" si="72"/>
        <v>-24</v>
      </c>
      <c r="V119" s="14">
        <f t="shared" si="77"/>
        <v>0.95918367346938771</v>
      </c>
      <c r="W119" s="13"/>
      <c r="X119" s="13"/>
      <c r="Y119" s="13">
        <f t="shared" si="73"/>
        <v>0</v>
      </c>
      <c r="Z119" s="14" t="e">
        <f t="shared" si="74"/>
        <v>#DIV/0!</v>
      </c>
      <c r="AA119" s="16"/>
      <c r="AB119" s="15">
        <f t="shared" si="75"/>
        <v>3282</v>
      </c>
      <c r="AC119" s="15">
        <f t="shared" si="75"/>
        <v>3414</v>
      </c>
      <c r="AD119" s="15">
        <f t="shared" si="78"/>
        <v>-132</v>
      </c>
      <c r="AE119" s="14">
        <f t="shared" si="76"/>
        <v>0.961335676625659</v>
      </c>
    </row>
    <row r="120" spans="1:31" ht="30" hidden="1" customHeight="1" x14ac:dyDescent="0.25">
      <c r="A120" s="12"/>
      <c r="B120" s="13" t="s">
        <v>18</v>
      </c>
      <c r="C120" s="13">
        <v>258</v>
      </c>
      <c r="D120" s="13">
        <v>768</v>
      </c>
      <c r="E120" s="13">
        <f t="shared" si="64"/>
        <v>-510</v>
      </c>
      <c r="F120" s="14">
        <f t="shared" si="65"/>
        <v>0.3359375</v>
      </c>
      <c r="G120" s="13">
        <v>408</v>
      </c>
      <c r="H120" s="13">
        <v>768</v>
      </c>
      <c r="I120" s="13">
        <f t="shared" si="66"/>
        <v>-360</v>
      </c>
      <c r="J120" s="14">
        <f t="shared" si="67"/>
        <v>0.53125</v>
      </c>
      <c r="K120" s="13">
        <v>456</v>
      </c>
      <c r="L120" s="13">
        <v>768</v>
      </c>
      <c r="M120" s="13">
        <f t="shared" si="68"/>
        <v>-312</v>
      </c>
      <c r="N120" s="14">
        <f t="shared" si="69"/>
        <v>0.59375</v>
      </c>
      <c r="O120" s="13">
        <v>438</v>
      </c>
      <c r="P120" s="13">
        <v>714</v>
      </c>
      <c r="Q120" s="13">
        <f t="shared" si="70"/>
        <v>-276</v>
      </c>
      <c r="R120" s="14">
        <f t="shared" si="71"/>
        <v>0.61344537815126055</v>
      </c>
      <c r="S120" s="15">
        <v>312</v>
      </c>
      <c r="T120" s="13">
        <v>588</v>
      </c>
      <c r="U120" s="15">
        <f t="shared" si="72"/>
        <v>-276</v>
      </c>
      <c r="V120" s="14">
        <f t="shared" si="77"/>
        <v>0.53061224489795922</v>
      </c>
      <c r="W120" s="13"/>
      <c r="X120" s="13"/>
      <c r="Y120" s="13">
        <f t="shared" si="73"/>
        <v>0</v>
      </c>
      <c r="Z120" s="14" t="e">
        <f t="shared" si="74"/>
        <v>#DIV/0!</v>
      </c>
      <c r="AA120" s="16"/>
      <c r="AB120" s="15">
        <f t="shared" si="75"/>
        <v>1872</v>
      </c>
      <c r="AC120" s="15">
        <f t="shared" si="75"/>
        <v>3606</v>
      </c>
      <c r="AD120" s="15">
        <f t="shared" si="78"/>
        <v>-1734</v>
      </c>
      <c r="AE120" s="14">
        <f t="shared" si="76"/>
        <v>0.51913477537437602</v>
      </c>
    </row>
    <row r="121" spans="1:31" ht="30" hidden="1" customHeight="1" x14ac:dyDescent="0.25">
      <c r="A121" s="12"/>
      <c r="B121" s="13" t="s">
        <v>19</v>
      </c>
      <c r="C121" s="13">
        <v>600</v>
      </c>
      <c r="D121" s="13">
        <v>768</v>
      </c>
      <c r="E121" s="13">
        <f t="shared" si="64"/>
        <v>-168</v>
      </c>
      <c r="F121" s="14">
        <f t="shared" si="65"/>
        <v>0.78125</v>
      </c>
      <c r="G121" s="13">
        <v>690</v>
      </c>
      <c r="H121" s="13">
        <v>768</v>
      </c>
      <c r="I121" s="13">
        <f t="shared" si="66"/>
        <v>-78</v>
      </c>
      <c r="J121" s="14">
        <f t="shared" si="67"/>
        <v>0.8984375</v>
      </c>
      <c r="K121" s="13">
        <v>702</v>
      </c>
      <c r="L121" s="13">
        <v>768</v>
      </c>
      <c r="M121" s="13">
        <f t="shared" si="68"/>
        <v>-66</v>
      </c>
      <c r="N121" s="14">
        <f t="shared" si="69"/>
        <v>0.9140625</v>
      </c>
      <c r="O121" s="13">
        <v>396</v>
      </c>
      <c r="P121" s="13">
        <v>672</v>
      </c>
      <c r="Q121" s="13">
        <f t="shared" si="70"/>
        <v>-276</v>
      </c>
      <c r="R121" s="14">
        <f t="shared" si="71"/>
        <v>0.5892857142857143</v>
      </c>
      <c r="S121" s="15">
        <v>252</v>
      </c>
      <c r="T121" s="13">
        <v>588</v>
      </c>
      <c r="U121" s="15">
        <f t="shared" si="72"/>
        <v>-336</v>
      </c>
      <c r="V121" s="14">
        <f t="shared" si="77"/>
        <v>0.42857142857142855</v>
      </c>
      <c r="W121" s="13"/>
      <c r="X121" s="13"/>
      <c r="Y121" s="13">
        <f t="shared" si="73"/>
        <v>0</v>
      </c>
      <c r="Z121" s="14" t="e">
        <f t="shared" si="74"/>
        <v>#DIV/0!</v>
      </c>
      <c r="AA121" s="16"/>
      <c r="AB121" s="15">
        <f t="shared" si="75"/>
        <v>2640</v>
      </c>
      <c r="AC121" s="15">
        <f t="shared" si="75"/>
        <v>3564</v>
      </c>
      <c r="AD121" s="15">
        <f t="shared" si="78"/>
        <v>-924</v>
      </c>
      <c r="AE121" s="14">
        <f t="shared" si="76"/>
        <v>0.7407407407407407</v>
      </c>
    </row>
    <row r="122" spans="1:31" ht="30" hidden="1" customHeight="1" x14ac:dyDescent="0.25">
      <c r="A122" s="12"/>
      <c r="B122" s="13" t="s">
        <v>20</v>
      </c>
      <c r="C122" s="13">
        <v>504</v>
      </c>
      <c r="D122" s="13">
        <v>768</v>
      </c>
      <c r="E122" s="13">
        <f t="shared" si="64"/>
        <v>-264</v>
      </c>
      <c r="F122" s="14">
        <f t="shared" si="65"/>
        <v>0.65625</v>
      </c>
      <c r="G122" s="13">
        <v>672</v>
      </c>
      <c r="H122" s="13">
        <v>768</v>
      </c>
      <c r="I122" s="13">
        <f t="shared" si="66"/>
        <v>-96</v>
      </c>
      <c r="J122" s="14">
        <f t="shared" si="67"/>
        <v>0.875</v>
      </c>
      <c r="K122" s="13">
        <v>756</v>
      </c>
      <c r="L122" s="13">
        <v>768</v>
      </c>
      <c r="M122" s="13">
        <f t="shared" si="68"/>
        <v>-12</v>
      </c>
      <c r="N122" s="14">
        <f t="shared" si="69"/>
        <v>0.984375</v>
      </c>
      <c r="O122" s="13">
        <v>594</v>
      </c>
      <c r="P122" s="13">
        <v>714</v>
      </c>
      <c r="Q122" s="13">
        <f t="shared" si="70"/>
        <v>-120</v>
      </c>
      <c r="R122" s="14">
        <f t="shared" si="71"/>
        <v>0.83193277310924374</v>
      </c>
      <c r="S122" s="15">
        <v>480</v>
      </c>
      <c r="T122" s="13">
        <v>588</v>
      </c>
      <c r="U122" s="15">
        <f t="shared" si="72"/>
        <v>-108</v>
      </c>
      <c r="V122" s="14">
        <f t="shared" si="77"/>
        <v>0.81632653061224492</v>
      </c>
      <c r="W122" s="13"/>
      <c r="X122" s="13"/>
      <c r="Y122" s="13">
        <f t="shared" si="73"/>
        <v>0</v>
      </c>
      <c r="Z122" s="14" t="e">
        <f t="shared" si="74"/>
        <v>#DIV/0!</v>
      </c>
      <c r="AA122" s="16"/>
      <c r="AB122" s="15">
        <f t="shared" si="75"/>
        <v>3006</v>
      </c>
      <c r="AC122" s="15">
        <f t="shared" si="75"/>
        <v>3606</v>
      </c>
      <c r="AD122" s="15">
        <f t="shared" si="78"/>
        <v>-600</v>
      </c>
      <c r="AE122" s="14">
        <f t="shared" si="76"/>
        <v>0.83361064891846925</v>
      </c>
    </row>
    <row r="123" spans="1:31" ht="30" hidden="1" customHeight="1" x14ac:dyDescent="0.25">
      <c r="A123" s="12"/>
      <c r="B123" s="13" t="s">
        <v>21</v>
      </c>
      <c r="C123" s="13">
        <v>240</v>
      </c>
      <c r="D123" s="13">
        <v>672</v>
      </c>
      <c r="E123" s="13">
        <f>+C123-D123</f>
        <v>-432</v>
      </c>
      <c r="F123" s="14">
        <f t="shared" si="65"/>
        <v>0.35714285714285715</v>
      </c>
      <c r="G123" s="13">
        <v>408</v>
      </c>
      <c r="H123" s="13">
        <v>672</v>
      </c>
      <c r="I123" s="13">
        <f>+G123-H123</f>
        <v>-264</v>
      </c>
      <c r="J123" s="14">
        <f t="shared" si="67"/>
        <v>0.6071428571428571</v>
      </c>
      <c r="K123" s="13">
        <v>432</v>
      </c>
      <c r="L123" s="13">
        <v>672</v>
      </c>
      <c r="M123" s="13">
        <f t="shared" si="68"/>
        <v>-240</v>
      </c>
      <c r="N123" s="14">
        <f t="shared" si="69"/>
        <v>0.6428571428571429</v>
      </c>
      <c r="O123" s="13">
        <v>372</v>
      </c>
      <c r="P123" s="13">
        <v>672</v>
      </c>
      <c r="Q123" s="13">
        <f>+O123-P123</f>
        <v>-300</v>
      </c>
      <c r="R123" s="14">
        <f t="shared" si="71"/>
        <v>0.5535714285714286</v>
      </c>
      <c r="S123" s="13">
        <v>234</v>
      </c>
      <c r="T123" s="13">
        <v>588</v>
      </c>
      <c r="U123" s="15">
        <f t="shared" si="72"/>
        <v>-354</v>
      </c>
      <c r="V123" s="14">
        <f t="shared" si="77"/>
        <v>0.39795918367346939</v>
      </c>
      <c r="W123" s="13"/>
      <c r="X123" s="13"/>
      <c r="Y123" s="13">
        <f t="shared" si="73"/>
        <v>0</v>
      </c>
      <c r="Z123" s="14" t="e">
        <f t="shared" si="74"/>
        <v>#DIV/0!</v>
      </c>
      <c r="AA123" s="16"/>
      <c r="AB123" s="15">
        <f t="shared" si="75"/>
        <v>1686</v>
      </c>
      <c r="AC123" s="15">
        <f t="shared" si="75"/>
        <v>3276</v>
      </c>
      <c r="AD123" s="15">
        <f t="shared" si="78"/>
        <v>-1590</v>
      </c>
      <c r="AE123" s="14">
        <f t="shared" si="76"/>
        <v>0.5146520146520146</v>
      </c>
    </row>
    <row r="124" spans="1:31" ht="30" hidden="1" customHeight="1" x14ac:dyDescent="0.25">
      <c r="A124" s="12"/>
      <c r="B124" s="17" t="s">
        <v>22</v>
      </c>
      <c r="C124" s="17">
        <f>SUM(C113:C123)</f>
        <v>5826</v>
      </c>
      <c r="D124" s="17">
        <f>SUM(D113:D123)</f>
        <v>8256</v>
      </c>
      <c r="E124" s="17">
        <f>C124-D124</f>
        <v>-2430</v>
      </c>
      <c r="F124" s="18">
        <f t="shared" si="65"/>
        <v>0.70566860465116277</v>
      </c>
      <c r="G124" s="17">
        <f>SUM(G113:G123)</f>
        <v>6486</v>
      </c>
      <c r="H124" s="17">
        <f>SUM(H113:H123)</f>
        <v>8256</v>
      </c>
      <c r="I124" s="17">
        <f>G124-H124</f>
        <v>-1770</v>
      </c>
      <c r="J124" s="18">
        <f t="shared" si="67"/>
        <v>0.78561046511627908</v>
      </c>
      <c r="K124" s="17">
        <f>SUM(K113:K123)</f>
        <v>6372</v>
      </c>
      <c r="L124" s="17">
        <f>SUM(L113:L123)</f>
        <v>8160</v>
      </c>
      <c r="M124" s="17">
        <f t="shared" si="68"/>
        <v>-1788</v>
      </c>
      <c r="N124" s="18">
        <f t="shared" si="69"/>
        <v>0.78088235294117647</v>
      </c>
      <c r="O124" s="17">
        <f>SUM(O113:O123)</f>
        <v>5736</v>
      </c>
      <c r="P124" s="17">
        <f>SUM(P113:P123)</f>
        <v>7644</v>
      </c>
      <c r="Q124" s="17">
        <f>O124-P124</f>
        <v>-1908</v>
      </c>
      <c r="R124" s="18">
        <f t="shared" si="71"/>
        <v>0.75039246467817899</v>
      </c>
      <c r="S124" s="17">
        <f>SUM(S113:S123)</f>
        <v>3978</v>
      </c>
      <c r="T124" s="17">
        <f>SUM(T113:T123)</f>
        <v>5292</v>
      </c>
      <c r="U124" s="17">
        <f t="shared" si="72"/>
        <v>-1314</v>
      </c>
      <c r="V124" s="18">
        <f t="shared" si="77"/>
        <v>0.75170068027210879</v>
      </c>
      <c r="W124" s="17">
        <f>SUM(W113:W123)</f>
        <v>0</v>
      </c>
      <c r="X124" s="17">
        <f>SUM(X113:X123)</f>
        <v>0</v>
      </c>
      <c r="Y124" s="17">
        <f t="shared" si="73"/>
        <v>0</v>
      </c>
      <c r="Z124" s="18" t="e">
        <f t="shared" si="74"/>
        <v>#DIV/0!</v>
      </c>
      <c r="AA124" s="19">
        <f>SUM(AA113:AA123)</f>
        <v>0</v>
      </c>
      <c r="AB124" s="17">
        <f>SUM(AB113:AB123)</f>
        <v>28398</v>
      </c>
      <c r="AC124" s="17">
        <f>SUM(AC113:AC123)</f>
        <v>37608</v>
      </c>
      <c r="AD124" s="17">
        <f t="shared" si="78"/>
        <v>-9210</v>
      </c>
      <c r="AE124" s="18">
        <f t="shared" si="76"/>
        <v>0.7551052967453733</v>
      </c>
    </row>
    <row r="125" spans="1:31" ht="30" hidden="1" customHeight="1" x14ac:dyDescent="0.25">
      <c r="A125" s="12"/>
      <c r="B125" s="13" t="s">
        <v>23</v>
      </c>
      <c r="C125" s="13">
        <v>756</v>
      </c>
      <c r="D125" s="13">
        <v>768</v>
      </c>
      <c r="E125" s="13">
        <f t="shared" ref="E125:E131" si="79">+C125-D125</f>
        <v>-12</v>
      </c>
      <c r="F125" s="14">
        <f t="shared" si="65"/>
        <v>0.984375</v>
      </c>
      <c r="G125" s="13">
        <v>564</v>
      </c>
      <c r="H125" s="13">
        <v>672</v>
      </c>
      <c r="I125" s="13">
        <f t="shared" ref="I125:I131" si="80">+G125-H125</f>
        <v>-108</v>
      </c>
      <c r="J125" s="14">
        <f t="shared" si="67"/>
        <v>0.8392857142857143</v>
      </c>
      <c r="K125" s="13">
        <v>192</v>
      </c>
      <c r="L125" s="13">
        <v>672</v>
      </c>
      <c r="M125" s="13">
        <f t="shared" si="68"/>
        <v>-480</v>
      </c>
      <c r="N125" s="14">
        <f t="shared" si="69"/>
        <v>0.2857142857142857</v>
      </c>
      <c r="O125" s="13">
        <v>96</v>
      </c>
      <c r="P125" s="13">
        <v>672</v>
      </c>
      <c r="Q125" s="13">
        <f t="shared" ref="Q125:Q131" si="81">+O125-P125</f>
        <v>-576</v>
      </c>
      <c r="R125" s="14">
        <f t="shared" si="71"/>
        <v>0.14285714285714285</v>
      </c>
      <c r="S125" s="15"/>
      <c r="T125" s="13"/>
      <c r="U125" s="15">
        <f t="shared" si="72"/>
        <v>0</v>
      </c>
      <c r="V125" s="14" t="e">
        <f t="shared" si="77"/>
        <v>#DIV/0!</v>
      </c>
      <c r="W125" s="13"/>
      <c r="X125" s="13"/>
      <c r="Y125" s="13">
        <f t="shared" si="73"/>
        <v>0</v>
      </c>
      <c r="Z125" s="14" t="e">
        <f t="shared" si="74"/>
        <v>#DIV/0!</v>
      </c>
      <c r="AA125" s="16"/>
      <c r="AB125" s="15">
        <f t="shared" ref="AB125:AC131" si="82">+C125+G125+K125+O125+S125+W125</f>
        <v>1608</v>
      </c>
      <c r="AC125" s="15">
        <f t="shared" si="82"/>
        <v>2784</v>
      </c>
      <c r="AD125" s="15">
        <f t="shared" si="78"/>
        <v>-1176</v>
      </c>
      <c r="AE125" s="14">
        <f t="shared" si="76"/>
        <v>0.57758620689655171</v>
      </c>
    </row>
    <row r="126" spans="1:31" ht="30" hidden="1" customHeight="1" x14ac:dyDescent="0.25">
      <c r="A126" s="12"/>
      <c r="B126" s="13" t="s">
        <v>24</v>
      </c>
      <c r="C126" s="13">
        <v>474</v>
      </c>
      <c r="D126" s="13">
        <v>540</v>
      </c>
      <c r="E126" s="13">
        <f t="shared" si="79"/>
        <v>-66</v>
      </c>
      <c r="F126" s="14">
        <f t="shared" si="65"/>
        <v>0.87777777777777777</v>
      </c>
      <c r="G126" s="13">
        <v>156</v>
      </c>
      <c r="H126" s="15">
        <v>564</v>
      </c>
      <c r="I126" s="13">
        <f t="shared" si="80"/>
        <v>-408</v>
      </c>
      <c r="J126" s="14">
        <f t="shared" si="67"/>
        <v>0.27659574468085107</v>
      </c>
      <c r="K126" s="13">
        <v>36</v>
      </c>
      <c r="L126" s="15">
        <v>564</v>
      </c>
      <c r="M126" s="13">
        <f t="shared" si="68"/>
        <v>-528</v>
      </c>
      <c r="N126" s="14">
        <f t="shared" si="69"/>
        <v>6.3829787234042548E-2</v>
      </c>
      <c r="O126" s="13">
        <v>180</v>
      </c>
      <c r="P126" s="15">
        <v>564</v>
      </c>
      <c r="Q126" s="13">
        <f t="shared" si="81"/>
        <v>-384</v>
      </c>
      <c r="R126" s="14">
        <f t="shared" si="71"/>
        <v>0.31914893617021278</v>
      </c>
      <c r="S126" s="15"/>
      <c r="T126" s="13"/>
      <c r="U126" s="15">
        <f t="shared" si="72"/>
        <v>0</v>
      </c>
      <c r="V126" s="14" t="e">
        <f t="shared" si="77"/>
        <v>#DIV/0!</v>
      </c>
      <c r="W126" s="13"/>
      <c r="X126" s="13"/>
      <c r="Y126" s="13">
        <f t="shared" si="73"/>
        <v>0</v>
      </c>
      <c r="Z126" s="14" t="e">
        <f t="shared" si="74"/>
        <v>#DIV/0!</v>
      </c>
      <c r="AA126" s="16"/>
      <c r="AB126" s="15">
        <f t="shared" si="82"/>
        <v>846</v>
      </c>
      <c r="AC126" s="15">
        <f t="shared" si="82"/>
        <v>2232</v>
      </c>
      <c r="AD126" s="15">
        <f t="shared" si="78"/>
        <v>-1386</v>
      </c>
      <c r="AE126" s="14">
        <f t="shared" si="76"/>
        <v>0.37903225806451613</v>
      </c>
    </row>
    <row r="127" spans="1:31" ht="30" hidden="1" customHeight="1" x14ac:dyDescent="0.25">
      <c r="A127" s="12"/>
      <c r="B127" s="13" t="s">
        <v>25</v>
      </c>
      <c r="C127" s="13">
        <v>348</v>
      </c>
      <c r="D127" s="13">
        <v>504</v>
      </c>
      <c r="E127" s="13">
        <f t="shared" si="79"/>
        <v>-156</v>
      </c>
      <c r="F127" s="14">
        <f t="shared" si="65"/>
        <v>0.69047619047619047</v>
      </c>
      <c r="G127" s="13">
        <v>365</v>
      </c>
      <c r="H127" s="13">
        <v>504</v>
      </c>
      <c r="I127" s="13">
        <f t="shared" si="80"/>
        <v>-139</v>
      </c>
      <c r="J127" s="14">
        <f t="shared" si="67"/>
        <v>0.72420634920634919</v>
      </c>
      <c r="K127" s="13">
        <v>394</v>
      </c>
      <c r="L127" s="13">
        <v>504</v>
      </c>
      <c r="M127" s="13">
        <f t="shared" si="68"/>
        <v>-110</v>
      </c>
      <c r="N127" s="14">
        <f t="shared" si="69"/>
        <v>0.78174603174603174</v>
      </c>
      <c r="O127" s="13">
        <v>360</v>
      </c>
      <c r="P127" s="13">
        <v>504</v>
      </c>
      <c r="Q127" s="13">
        <f t="shared" si="81"/>
        <v>-144</v>
      </c>
      <c r="R127" s="14">
        <f t="shared" si="71"/>
        <v>0.7142857142857143</v>
      </c>
      <c r="S127" s="15"/>
      <c r="T127" s="13"/>
      <c r="U127" s="15">
        <f t="shared" si="72"/>
        <v>0</v>
      </c>
      <c r="V127" s="14" t="e">
        <f t="shared" si="77"/>
        <v>#DIV/0!</v>
      </c>
      <c r="W127" s="13"/>
      <c r="X127" s="13"/>
      <c r="Y127" s="13">
        <f t="shared" si="73"/>
        <v>0</v>
      </c>
      <c r="Z127" s="14" t="e">
        <f t="shared" si="74"/>
        <v>#DIV/0!</v>
      </c>
      <c r="AA127" s="16"/>
      <c r="AB127" s="15">
        <f t="shared" si="82"/>
        <v>1467</v>
      </c>
      <c r="AC127" s="15">
        <f t="shared" si="82"/>
        <v>2016</v>
      </c>
      <c r="AD127" s="15">
        <f t="shared" si="78"/>
        <v>-549</v>
      </c>
      <c r="AE127" s="14">
        <f t="shared" si="76"/>
        <v>0.7276785714285714</v>
      </c>
    </row>
    <row r="128" spans="1:31" ht="30" hidden="1" customHeight="1" x14ac:dyDescent="0.25">
      <c r="A128" s="12"/>
      <c r="B128" s="13" t="s">
        <v>26</v>
      </c>
      <c r="C128" s="13">
        <v>612</v>
      </c>
      <c r="D128" s="13">
        <v>672</v>
      </c>
      <c r="E128" s="13">
        <f t="shared" si="79"/>
        <v>-60</v>
      </c>
      <c r="F128" s="14">
        <f t="shared" si="65"/>
        <v>0.9107142857142857</v>
      </c>
      <c r="G128" s="13">
        <v>582</v>
      </c>
      <c r="H128" s="13">
        <v>672</v>
      </c>
      <c r="I128" s="13">
        <f t="shared" si="80"/>
        <v>-90</v>
      </c>
      <c r="J128" s="14">
        <f t="shared" si="67"/>
        <v>0.8660714285714286</v>
      </c>
      <c r="K128" s="13">
        <v>678</v>
      </c>
      <c r="L128" s="13">
        <v>672</v>
      </c>
      <c r="M128" s="13">
        <f t="shared" si="68"/>
        <v>6</v>
      </c>
      <c r="N128" s="14">
        <f t="shared" si="69"/>
        <v>1.0089285714285714</v>
      </c>
      <c r="O128" s="13">
        <v>672</v>
      </c>
      <c r="P128" s="13">
        <v>672</v>
      </c>
      <c r="Q128" s="13">
        <f t="shared" si="81"/>
        <v>0</v>
      </c>
      <c r="R128" s="14">
        <f t="shared" si="71"/>
        <v>1</v>
      </c>
      <c r="S128" s="15"/>
      <c r="T128" s="13"/>
      <c r="U128" s="15">
        <f t="shared" si="72"/>
        <v>0</v>
      </c>
      <c r="V128" s="14" t="e">
        <f t="shared" si="77"/>
        <v>#DIV/0!</v>
      </c>
      <c r="W128" s="13"/>
      <c r="X128" s="13"/>
      <c r="Y128" s="13">
        <f t="shared" si="73"/>
        <v>0</v>
      </c>
      <c r="Z128" s="14" t="e">
        <f t="shared" si="74"/>
        <v>#DIV/0!</v>
      </c>
      <c r="AA128" s="16"/>
      <c r="AB128" s="15">
        <f t="shared" si="82"/>
        <v>2544</v>
      </c>
      <c r="AC128" s="15">
        <f t="shared" si="82"/>
        <v>2688</v>
      </c>
      <c r="AD128" s="15">
        <f t="shared" si="78"/>
        <v>-144</v>
      </c>
      <c r="AE128" s="14">
        <f t="shared" si="76"/>
        <v>0.9464285714285714</v>
      </c>
    </row>
    <row r="129" spans="1:31" ht="30" hidden="1" customHeight="1" x14ac:dyDescent="0.25">
      <c r="A129" s="12"/>
      <c r="B129" s="13" t="s">
        <v>27</v>
      </c>
      <c r="C129" s="13">
        <v>450</v>
      </c>
      <c r="D129" s="13">
        <v>672</v>
      </c>
      <c r="E129" s="13">
        <f t="shared" si="79"/>
        <v>-222</v>
      </c>
      <c r="F129" s="14">
        <f t="shared" si="65"/>
        <v>0.6696428571428571</v>
      </c>
      <c r="G129" s="13">
        <v>492</v>
      </c>
      <c r="H129" s="13">
        <v>672</v>
      </c>
      <c r="I129" s="13">
        <f t="shared" si="80"/>
        <v>-180</v>
      </c>
      <c r="J129" s="14">
        <f t="shared" si="67"/>
        <v>0.7321428571428571</v>
      </c>
      <c r="K129" s="13">
        <v>474</v>
      </c>
      <c r="L129" s="13">
        <v>672</v>
      </c>
      <c r="M129" s="13">
        <f t="shared" si="68"/>
        <v>-198</v>
      </c>
      <c r="N129" s="14">
        <f t="shared" si="69"/>
        <v>0.7053571428571429</v>
      </c>
      <c r="O129" s="13">
        <v>516</v>
      </c>
      <c r="P129" s="13">
        <v>714</v>
      </c>
      <c r="Q129" s="13">
        <f t="shared" si="81"/>
        <v>-198</v>
      </c>
      <c r="R129" s="14">
        <f t="shared" si="71"/>
        <v>0.72268907563025209</v>
      </c>
      <c r="S129" s="15"/>
      <c r="T129" s="13"/>
      <c r="U129" s="15">
        <f t="shared" si="72"/>
        <v>0</v>
      </c>
      <c r="V129" s="14" t="e">
        <f t="shared" si="77"/>
        <v>#DIV/0!</v>
      </c>
      <c r="W129" s="13"/>
      <c r="X129" s="13"/>
      <c r="Y129" s="13">
        <f t="shared" si="73"/>
        <v>0</v>
      </c>
      <c r="Z129" s="14" t="e">
        <f t="shared" si="74"/>
        <v>#DIV/0!</v>
      </c>
      <c r="AA129" s="16"/>
      <c r="AB129" s="15">
        <f t="shared" si="82"/>
        <v>1932</v>
      </c>
      <c r="AC129" s="15">
        <f t="shared" si="82"/>
        <v>2730</v>
      </c>
      <c r="AD129" s="15">
        <f t="shared" si="78"/>
        <v>-798</v>
      </c>
      <c r="AE129" s="14">
        <f t="shared" si="76"/>
        <v>0.70769230769230773</v>
      </c>
    </row>
    <row r="130" spans="1:31" ht="30" hidden="1" customHeight="1" x14ac:dyDescent="0.25">
      <c r="A130" s="12"/>
      <c r="B130" s="13" t="s">
        <v>28</v>
      </c>
      <c r="C130" s="13">
        <v>300</v>
      </c>
      <c r="D130" s="13">
        <v>408</v>
      </c>
      <c r="E130" s="13">
        <f t="shared" si="79"/>
        <v>-108</v>
      </c>
      <c r="F130" s="14">
        <f t="shared" si="65"/>
        <v>0.73529411764705888</v>
      </c>
      <c r="G130" s="13">
        <v>342</v>
      </c>
      <c r="H130" s="13">
        <v>408</v>
      </c>
      <c r="I130" s="13">
        <f t="shared" si="80"/>
        <v>-66</v>
      </c>
      <c r="J130" s="14">
        <f t="shared" si="67"/>
        <v>0.83823529411764708</v>
      </c>
      <c r="K130" s="13">
        <v>360</v>
      </c>
      <c r="L130" s="13">
        <v>408</v>
      </c>
      <c r="M130" s="13">
        <f>+K130-L130</f>
        <v>-48</v>
      </c>
      <c r="N130" s="14">
        <f t="shared" si="69"/>
        <v>0.88235294117647056</v>
      </c>
      <c r="O130" s="13">
        <v>408</v>
      </c>
      <c r="P130" s="13">
        <v>434</v>
      </c>
      <c r="Q130" s="13">
        <f t="shared" si="81"/>
        <v>-26</v>
      </c>
      <c r="R130" s="14">
        <f t="shared" si="71"/>
        <v>0.94009216589861755</v>
      </c>
      <c r="S130" s="15"/>
      <c r="T130" s="13"/>
      <c r="U130" s="15">
        <f>+S130-T130</f>
        <v>0</v>
      </c>
      <c r="V130" s="14" t="e">
        <f t="shared" si="77"/>
        <v>#DIV/0!</v>
      </c>
      <c r="W130" s="13"/>
      <c r="X130" s="13"/>
      <c r="Y130" s="13">
        <f t="shared" si="73"/>
        <v>0</v>
      </c>
      <c r="Z130" s="14" t="e">
        <f t="shared" si="74"/>
        <v>#DIV/0!</v>
      </c>
      <c r="AA130" s="16"/>
      <c r="AB130" s="15">
        <f t="shared" si="82"/>
        <v>1410</v>
      </c>
      <c r="AC130" s="15">
        <f t="shared" si="82"/>
        <v>1658</v>
      </c>
      <c r="AD130" s="15">
        <f t="shared" si="78"/>
        <v>-248</v>
      </c>
      <c r="AE130" s="14">
        <f t="shared" si="76"/>
        <v>0.85042219541616404</v>
      </c>
    </row>
    <row r="131" spans="1:31" ht="30" hidden="1" customHeight="1" x14ac:dyDescent="0.25">
      <c r="A131" s="12"/>
      <c r="B131" s="13" t="s">
        <v>29</v>
      </c>
      <c r="C131" s="13">
        <v>318</v>
      </c>
      <c r="D131" s="13">
        <v>672</v>
      </c>
      <c r="E131" s="13">
        <f t="shared" si="79"/>
        <v>-354</v>
      </c>
      <c r="F131" s="14">
        <f t="shared" si="65"/>
        <v>0.4732142857142857</v>
      </c>
      <c r="G131" s="13">
        <v>203</v>
      </c>
      <c r="H131" s="13">
        <v>672</v>
      </c>
      <c r="I131" s="13">
        <f t="shared" si="80"/>
        <v>-469</v>
      </c>
      <c r="J131" s="14">
        <f t="shared" si="67"/>
        <v>0.30208333333333331</v>
      </c>
      <c r="K131" s="13">
        <v>258</v>
      </c>
      <c r="L131" s="13">
        <v>672</v>
      </c>
      <c r="M131" s="13">
        <f>+K131-L131</f>
        <v>-414</v>
      </c>
      <c r="N131" s="14">
        <f t="shared" si="69"/>
        <v>0.38392857142857145</v>
      </c>
      <c r="O131" s="13">
        <v>306</v>
      </c>
      <c r="P131" s="13">
        <v>672</v>
      </c>
      <c r="Q131" s="13">
        <f t="shared" si="81"/>
        <v>-366</v>
      </c>
      <c r="R131" s="14">
        <f t="shared" si="71"/>
        <v>0.45535714285714285</v>
      </c>
      <c r="S131" s="13"/>
      <c r="T131" s="13"/>
      <c r="U131" s="15">
        <f>+S131-T131</f>
        <v>0</v>
      </c>
      <c r="V131" s="14" t="e">
        <f t="shared" si="77"/>
        <v>#DIV/0!</v>
      </c>
      <c r="W131" s="13"/>
      <c r="X131" s="13"/>
      <c r="Y131" s="13">
        <f t="shared" si="73"/>
        <v>0</v>
      </c>
      <c r="Z131" s="14" t="e">
        <f t="shared" si="74"/>
        <v>#DIV/0!</v>
      </c>
      <c r="AA131" s="16"/>
      <c r="AB131" s="15">
        <f t="shared" si="82"/>
        <v>1085</v>
      </c>
      <c r="AC131" s="15">
        <f t="shared" si="82"/>
        <v>2688</v>
      </c>
      <c r="AD131" s="15">
        <f t="shared" si="78"/>
        <v>-1603</v>
      </c>
      <c r="AE131" s="14">
        <f t="shared" si="76"/>
        <v>0.40364583333333331</v>
      </c>
    </row>
    <row r="132" spans="1:31" ht="30" hidden="1" customHeight="1" x14ac:dyDescent="0.25">
      <c r="A132" s="12"/>
      <c r="B132" s="17" t="s">
        <v>22</v>
      </c>
      <c r="C132" s="17">
        <f>SUM(C125:C131)</f>
        <v>3258</v>
      </c>
      <c r="D132" s="17">
        <f>SUM(D125:D131)</f>
        <v>4236</v>
      </c>
      <c r="E132" s="17">
        <f>C132-D132</f>
        <v>-978</v>
      </c>
      <c r="F132" s="18">
        <f t="shared" si="65"/>
        <v>0.76912181303116145</v>
      </c>
      <c r="G132" s="17">
        <f>SUM(G125:G131)</f>
        <v>2704</v>
      </c>
      <c r="H132" s="17">
        <f>SUM(H125:H131)</f>
        <v>4164</v>
      </c>
      <c r="I132" s="17">
        <f>G132-H132</f>
        <v>-1460</v>
      </c>
      <c r="J132" s="18">
        <f t="shared" si="67"/>
        <v>0.64937560038424591</v>
      </c>
      <c r="K132" s="17">
        <f>SUM(K125:K131)</f>
        <v>2392</v>
      </c>
      <c r="L132" s="17">
        <f>SUM(L125:L131)</f>
        <v>4164</v>
      </c>
      <c r="M132" s="17">
        <f>+K132-L132</f>
        <v>-1772</v>
      </c>
      <c r="N132" s="18">
        <f t="shared" si="69"/>
        <v>0.57444764649375601</v>
      </c>
      <c r="O132" s="17">
        <f>SUM(O125:O131)</f>
        <v>2538</v>
      </c>
      <c r="P132" s="17">
        <f>SUM(P125:P131)</f>
        <v>4232</v>
      </c>
      <c r="Q132" s="17">
        <f>O132-P132</f>
        <v>-1694</v>
      </c>
      <c r="R132" s="18">
        <f t="shared" si="71"/>
        <v>0.59971644612476371</v>
      </c>
      <c r="S132" s="17">
        <f>SUM(S125:S131)</f>
        <v>0</v>
      </c>
      <c r="T132" s="17">
        <f>SUM(T125:T131)</f>
        <v>0</v>
      </c>
      <c r="U132" s="17">
        <f>+S132-T132</f>
        <v>0</v>
      </c>
      <c r="V132" s="18" t="e">
        <f t="shared" si="77"/>
        <v>#DIV/0!</v>
      </c>
      <c r="W132" s="17">
        <f>SUM(W125:W131)</f>
        <v>0</v>
      </c>
      <c r="X132" s="17">
        <f>SUM(X125:X131)</f>
        <v>0</v>
      </c>
      <c r="Y132" s="17">
        <f t="shared" si="73"/>
        <v>0</v>
      </c>
      <c r="Z132" s="18" t="e">
        <f t="shared" si="74"/>
        <v>#DIV/0!</v>
      </c>
      <c r="AA132" s="19">
        <f>SUM(AA125:AA131)</f>
        <v>0</v>
      </c>
      <c r="AB132" s="17">
        <f>SUM(AB125:AB131)</f>
        <v>10892</v>
      </c>
      <c r="AC132" s="17">
        <f>SUM(AC125:AC131)</f>
        <v>16796</v>
      </c>
      <c r="AD132" s="17">
        <f t="shared" si="78"/>
        <v>-5904</v>
      </c>
      <c r="AE132" s="18">
        <f t="shared" si="76"/>
        <v>0.64848773517504166</v>
      </c>
    </row>
    <row r="133" spans="1:31" ht="30" hidden="1" customHeight="1" x14ac:dyDescent="0.25">
      <c r="A133" s="20" t="s">
        <v>30</v>
      </c>
      <c r="B133" s="20"/>
      <c r="C133" s="19">
        <f>SUM(C124,C132)</f>
        <v>9084</v>
      </c>
      <c r="D133" s="19">
        <f>SUM(D124,D132)</f>
        <v>12492</v>
      </c>
      <c r="E133" s="19">
        <f>C133-D133</f>
        <v>-3408</v>
      </c>
      <c r="F133" s="21">
        <f t="shared" si="65"/>
        <v>0.72718539865513931</v>
      </c>
      <c r="G133" s="19">
        <f>SUM(G124,G132)</f>
        <v>9190</v>
      </c>
      <c r="H133" s="19">
        <f>SUM(H124,H132)</f>
        <v>12420</v>
      </c>
      <c r="I133" s="19">
        <f>G133-H133</f>
        <v>-3230</v>
      </c>
      <c r="J133" s="21">
        <f t="shared" si="67"/>
        <v>0.73993558776167467</v>
      </c>
      <c r="K133" s="19">
        <f>SUM(K124,K132)</f>
        <v>8764</v>
      </c>
      <c r="L133" s="19">
        <f>SUM(L124,L132)</f>
        <v>12324</v>
      </c>
      <c r="M133" s="19">
        <f>K133-L133</f>
        <v>-3560</v>
      </c>
      <c r="N133" s="21">
        <f t="shared" si="69"/>
        <v>0.71113274910743263</v>
      </c>
      <c r="O133" s="19">
        <f>SUM(O124,O132)</f>
        <v>8274</v>
      </c>
      <c r="P133" s="19">
        <f>SUM(P124,P132)</f>
        <v>11876</v>
      </c>
      <c r="Q133" s="19">
        <f>O133-P133</f>
        <v>-3602</v>
      </c>
      <c r="R133" s="21">
        <f t="shared" si="71"/>
        <v>0.69669922532839335</v>
      </c>
      <c r="S133" s="19">
        <f>SUM(S124,S132)</f>
        <v>3978</v>
      </c>
      <c r="T133" s="19">
        <f>SUM(T124,T132)</f>
        <v>5292</v>
      </c>
      <c r="U133" s="19">
        <f>S133-T133</f>
        <v>-1314</v>
      </c>
      <c r="V133" s="21">
        <f t="shared" si="77"/>
        <v>0.75170068027210879</v>
      </c>
      <c r="W133" s="19">
        <f>SUM(W124,W132)</f>
        <v>0</v>
      </c>
      <c r="X133" s="19">
        <f>SUM(X124,X132)</f>
        <v>0</v>
      </c>
      <c r="Y133" s="19">
        <f>W133-X133</f>
        <v>0</v>
      </c>
      <c r="Z133" s="21" t="e">
        <f t="shared" si="74"/>
        <v>#DIV/0!</v>
      </c>
      <c r="AA133" s="19">
        <f>SUM(AA124,AA132)</f>
        <v>0</v>
      </c>
      <c r="AB133" s="19">
        <f>SUM(AB124,AB132)</f>
        <v>39290</v>
      </c>
      <c r="AC133" s="19">
        <f>SUM(AC124,AC132)</f>
        <v>54404</v>
      </c>
      <c r="AD133" s="19">
        <f>AB133-AC133</f>
        <v>-15114</v>
      </c>
      <c r="AE133" s="21">
        <f t="shared" si="76"/>
        <v>0.72218954488640541</v>
      </c>
    </row>
    <row r="134" spans="1:31" ht="30" hidden="1" customHeight="1" x14ac:dyDescent="0.25">
      <c r="A134" s="12" t="s">
        <v>31</v>
      </c>
      <c r="B134" s="13" t="s">
        <v>32</v>
      </c>
      <c r="C134" s="13">
        <v>648</v>
      </c>
      <c r="D134" s="13">
        <v>672</v>
      </c>
      <c r="E134" s="13">
        <f>+C134-D134</f>
        <v>-24</v>
      </c>
      <c r="F134" s="14">
        <f t="shared" si="65"/>
        <v>0.9642857142857143</v>
      </c>
      <c r="G134" s="13">
        <v>708</v>
      </c>
      <c r="H134" s="13">
        <v>672</v>
      </c>
      <c r="I134" s="13">
        <f t="shared" ref="I134:I143" si="83">+G134-H134</f>
        <v>36</v>
      </c>
      <c r="J134" s="14">
        <f t="shared" si="67"/>
        <v>1.0535714285714286</v>
      </c>
      <c r="K134" s="13">
        <v>732</v>
      </c>
      <c r="L134" s="13">
        <v>672</v>
      </c>
      <c r="M134" s="13">
        <f t="shared" ref="M134:M146" si="84">+K134-L134</f>
        <v>60</v>
      </c>
      <c r="N134" s="14">
        <f t="shared" si="69"/>
        <v>1.0892857142857142</v>
      </c>
      <c r="O134" s="13">
        <v>768</v>
      </c>
      <c r="P134" s="13">
        <v>672</v>
      </c>
      <c r="Q134" s="13">
        <f t="shared" ref="Q134:Q143" si="85">+O134-P134</f>
        <v>96</v>
      </c>
      <c r="R134" s="14">
        <f t="shared" si="71"/>
        <v>1.1428571428571428</v>
      </c>
      <c r="S134" s="15"/>
      <c r="T134" s="13"/>
      <c r="U134" s="15">
        <f t="shared" ref="U134:U146" si="86">+S134-T134</f>
        <v>0</v>
      </c>
      <c r="V134" s="14" t="e">
        <f t="shared" si="77"/>
        <v>#DIV/0!</v>
      </c>
      <c r="W134" s="13"/>
      <c r="X134" s="13"/>
      <c r="Y134" s="13">
        <f t="shared" ref="Y134:Y143" si="87">+W134-X134</f>
        <v>0</v>
      </c>
      <c r="Z134" s="14" t="e">
        <f t="shared" si="74"/>
        <v>#DIV/0!</v>
      </c>
      <c r="AA134" s="16"/>
      <c r="AB134" s="15">
        <f t="shared" ref="AB134:AC143" si="88">+C134+G134+K134+O134+S134+W134</f>
        <v>2856</v>
      </c>
      <c r="AC134" s="15">
        <f t="shared" si="88"/>
        <v>2688</v>
      </c>
      <c r="AD134" s="15">
        <f>+AB134-AC134</f>
        <v>168</v>
      </c>
      <c r="AE134" s="14">
        <f t="shared" si="76"/>
        <v>1.0625</v>
      </c>
    </row>
    <row r="135" spans="1:31" ht="30" hidden="1" customHeight="1" x14ac:dyDescent="0.25">
      <c r="A135" s="12"/>
      <c r="B135" s="13" t="s">
        <v>33</v>
      </c>
      <c r="C135" s="13">
        <v>522</v>
      </c>
      <c r="D135" s="13">
        <v>672</v>
      </c>
      <c r="E135" s="13">
        <f>+C135-D135</f>
        <v>-150</v>
      </c>
      <c r="F135" s="14">
        <f t="shared" si="65"/>
        <v>0.7767857142857143</v>
      </c>
      <c r="G135" s="13">
        <v>648</v>
      </c>
      <c r="H135" s="13">
        <v>672</v>
      </c>
      <c r="I135" s="13">
        <f t="shared" si="83"/>
        <v>-24</v>
      </c>
      <c r="J135" s="14">
        <f t="shared" si="67"/>
        <v>0.9642857142857143</v>
      </c>
      <c r="K135" s="13">
        <v>636</v>
      </c>
      <c r="L135" s="13">
        <v>672</v>
      </c>
      <c r="M135" s="13">
        <f t="shared" si="84"/>
        <v>-36</v>
      </c>
      <c r="N135" s="14">
        <f t="shared" si="69"/>
        <v>0.9464285714285714</v>
      </c>
      <c r="O135" s="13">
        <v>648</v>
      </c>
      <c r="P135" s="13">
        <v>672</v>
      </c>
      <c r="Q135" s="13">
        <f t="shared" si="85"/>
        <v>-24</v>
      </c>
      <c r="R135" s="14">
        <f t="shared" si="71"/>
        <v>0.9642857142857143</v>
      </c>
      <c r="S135" s="15"/>
      <c r="T135" s="13"/>
      <c r="U135" s="15">
        <f t="shared" si="86"/>
        <v>0</v>
      </c>
      <c r="V135" s="14" t="e">
        <f t="shared" si="77"/>
        <v>#DIV/0!</v>
      </c>
      <c r="W135" s="13"/>
      <c r="X135" s="13"/>
      <c r="Y135" s="13">
        <f t="shared" si="87"/>
        <v>0</v>
      </c>
      <c r="Z135" s="14" t="e">
        <f t="shared" si="74"/>
        <v>#DIV/0!</v>
      </c>
      <c r="AA135" s="16"/>
      <c r="AB135" s="15">
        <f t="shared" si="88"/>
        <v>2454</v>
      </c>
      <c r="AC135" s="15">
        <f t="shared" si="88"/>
        <v>2688</v>
      </c>
      <c r="AD135" s="15">
        <f>+AB135-AC135</f>
        <v>-234</v>
      </c>
      <c r="AE135" s="14">
        <f t="shared" si="76"/>
        <v>0.9129464285714286</v>
      </c>
    </row>
    <row r="136" spans="1:31" ht="30" hidden="1" customHeight="1" x14ac:dyDescent="0.25">
      <c r="A136" s="12"/>
      <c r="B136" s="13" t="s">
        <v>34</v>
      </c>
      <c r="C136" s="13">
        <v>576</v>
      </c>
      <c r="D136" s="13">
        <v>768</v>
      </c>
      <c r="E136" s="13">
        <f t="shared" ref="E136:E143" si="89">+C136-D136</f>
        <v>-192</v>
      </c>
      <c r="F136" s="14">
        <f t="shared" si="65"/>
        <v>0.75</v>
      </c>
      <c r="G136" s="13">
        <v>684</v>
      </c>
      <c r="H136" s="13">
        <v>768</v>
      </c>
      <c r="I136" s="13">
        <f t="shared" si="83"/>
        <v>-84</v>
      </c>
      <c r="J136" s="14">
        <f t="shared" si="67"/>
        <v>0.890625</v>
      </c>
      <c r="K136" s="13">
        <v>624</v>
      </c>
      <c r="L136" s="13">
        <v>768</v>
      </c>
      <c r="M136" s="13">
        <f t="shared" si="84"/>
        <v>-144</v>
      </c>
      <c r="N136" s="14">
        <f t="shared" si="69"/>
        <v>0.8125</v>
      </c>
      <c r="O136" s="13">
        <v>624</v>
      </c>
      <c r="P136" s="13">
        <v>714</v>
      </c>
      <c r="Q136" s="13">
        <f t="shared" si="85"/>
        <v>-90</v>
      </c>
      <c r="R136" s="14">
        <f t="shared" si="71"/>
        <v>0.87394957983193278</v>
      </c>
      <c r="S136" s="15"/>
      <c r="T136" s="13"/>
      <c r="U136" s="15">
        <f t="shared" si="86"/>
        <v>0</v>
      </c>
      <c r="V136" s="14" t="e">
        <f t="shared" si="77"/>
        <v>#DIV/0!</v>
      </c>
      <c r="W136" s="13"/>
      <c r="X136" s="13"/>
      <c r="Y136" s="13">
        <f t="shared" si="87"/>
        <v>0</v>
      </c>
      <c r="Z136" s="14" t="e">
        <f t="shared" si="74"/>
        <v>#DIV/0!</v>
      </c>
      <c r="AA136" s="16"/>
      <c r="AB136" s="15">
        <f t="shared" si="88"/>
        <v>2508</v>
      </c>
      <c r="AC136" s="15">
        <f t="shared" si="88"/>
        <v>3018</v>
      </c>
      <c r="AD136" s="15">
        <f>+AB136-AC136</f>
        <v>-510</v>
      </c>
      <c r="AE136" s="14">
        <f t="shared" si="76"/>
        <v>0.83101391650099399</v>
      </c>
    </row>
    <row r="137" spans="1:31" ht="30" hidden="1" customHeight="1" x14ac:dyDescent="0.25">
      <c r="A137" s="12"/>
      <c r="B137" s="13" t="s">
        <v>35</v>
      </c>
      <c r="C137" s="13">
        <v>522</v>
      </c>
      <c r="D137" s="13">
        <v>672</v>
      </c>
      <c r="E137" s="13">
        <f t="shared" si="89"/>
        <v>-150</v>
      </c>
      <c r="F137" s="14">
        <f t="shared" si="65"/>
        <v>0.7767857142857143</v>
      </c>
      <c r="G137" s="13">
        <v>624</v>
      </c>
      <c r="H137" s="13">
        <v>672</v>
      </c>
      <c r="I137" s="13">
        <f t="shared" si="83"/>
        <v>-48</v>
      </c>
      <c r="J137" s="14">
        <f t="shared" si="67"/>
        <v>0.9285714285714286</v>
      </c>
      <c r="K137" s="13">
        <v>576</v>
      </c>
      <c r="L137" s="13">
        <v>672</v>
      </c>
      <c r="M137" s="13">
        <f t="shared" si="84"/>
        <v>-96</v>
      </c>
      <c r="N137" s="14">
        <f t="shared" si="69"/>
        <v>0.8571428571428571</v>
      </c>
      <c r="O137" s="13">
        <v>612</v>
      </c>
      <c r="P137" s="13">
        <v>672</v>
      </c>
      <c r="Q137" s="13">
        <f t="shared" si="85"/>
        <v>-60</v>
      </c>
      <c r="R137" s="14">
        <f t="shared" si="71"/>
        <v>0.9107142857142857</v>
      </c>
      <c r="S137" s="15"/>
      <c r="T137" s="13"/>
      <c r="U137" s="15">
        <f t="shared" si="86"/>
        <v>0</v>
      </c>
      <c r="V137" s="14" t="e">
        <f t="shared" si="77"/>
        <v>#DIV/0!</v>
      </c>
      <c r="W137" s="13"/>
      <c r="X137" s="13"/>
      <c r="Y137" s="13">
        <f t="shared" si="87"/>
        <v>0</v>
      </c>
      <c r="Z137" s="14" t="e">
        <f t="shared" si="74"/>
        <v>#DIV/0!</v>
      </c>
      <c r="AA137" s="16"/>
      <c r="AB137" s="15">
        <f t="shared" si="88"/>
        <v>2334</v>
      </c>
      <c r="AC137" s="15">
        <f t="shared" si="88"/>
        <v>2688</v>
      </c>
      <c r="AD137" s="15">
        <f>+AB137-AC137</f>
        <v>-354</v>
      </c>
      <c r="AE137" s="14">
        <f t="shared" si="76"/>
        <v>0.8683035714285714</v>
      </c>
    </row>
    <row r="138" spans="1:31" ht="30" hidden="1" customHeight="1" x14ac:dyDescent="0.25">
      <c r="A138" s="12"/>
      <c r="B138" s="13" t="s">
        <v>36</v>
      </c>
      <c r="C138" s="13">
        <v>432</v>
      </c>
      <c r="D138" s="13">
        <v>672</v>
      </c>
      <c r="E138" s="13">
        <f t="shared" si="89"/>
        <v>-240</v>
      </c>
      <c r="F138" s="14">
        <f t="shared" si="65"/>
        <v>0.6428571428571429</v>
      </c>
      <c r="G138" s="13">
        <v>534</v>
      </c>
      <c r="H138" s="15">
        <v>672</v>
      </c>
      <c r="I138" s="13">
        <f t="shared" si="83"/>
        <v>-138</v>
      </c>
      <c r="J138" s="14">
        <f t="shared" si="67"/>
        <v>0.7946428571428571</v>
      </c>
      <c r="K138" s="13">
        <v>528</v>
      </c>
      <c r="L138" s="13">
        <v>672</v>
      </c>
      <c r="M138" s="13">
        <f t="shared" si="84"/>
        <v>-144</v>
      </c>
      <c r="N138" s="14">
        <f t="shared" si="69"/>
        <v>0.7857142857142857</v>
      </c>
      <c r="O138" s="13">
        <v>552</v>
      </c>
      <c r="P138" s="13">
        <v>672</v>
      </c>
      <c r="Q138" s="13">
        <f t="shared" si="85"/>
        <v>-120</v>
      </c>
      <c r="R138" s="14">
        <f t="shared" si="71"/>
        <v>0.8214285714285714</v>
      </c>
      <c r="S138" s="15"/>
      <c r="T138" s="13"/>
      <c r="U138" s="15">
        <f t="shared" si="86"/>
        <v>0</v>
      </c>
      <c r="V138" s="14" t="e">
        <f t="shared" si="77"/>
        <v>#DIV/0!</v>
      </c>
      <c r="W138" s="13"/>
      <c r="X138" s="13"/>
      <c r="Y138" s="13">
        <f t="shared" si="87"/>
        <v>0</v>
      </c>
      <c r="Z138" s="14" t="e">
        <f t="shared" si="74"/>
        <v>#DIV/0!</v>
      </c>
      <c r="AA138" s="16"/>
      <c r="AB138" s="15">
        <f t="shared" si="88"/>
        <v>2046</v>
      </c>
      <c r="AC138" s="15">
        <f t="shared" si="88"/>
        <v>2688</v>
      </c>
      <c r="AD138" s="15">
        <f>+AB138-AC138</f>
        <v>-642</v>
      </c>
      <c r="AE138" s="14">
        <f t="shared" si="76"/>
        <v>0.7611607142857143</v>
      </c>
    </row>
    <row r="139" spans="1:31" ht="30" hidden="1" customHeight="1" x14ac:dyDescent="0.25">
      <c r="A139" s="12"/>
      <c r="B139" s="13" t="s">
        <v>37</v>
      </c>
      <c r="C139" s="13">
        <v>588</v>
      </c>
      <c r="D139" s="13">
        <v>768</v>
      </c>
      <c r="E139" s="13">
        <f t="shared" si="89"/>
        <v>-180</v>
      </c>
      <c r="F139" s="14">
        <f t="shared" si="65"/>
        <v>0.765625</v>
      </c>
      <c r="G139" s="13">
        <v>564</v>
      </c>
      <c r="H139" s="13">
        <v>768</v>
      </c>
      <c r="I139" s="13">
        <f t="shared" si="83"/>
        <v>-204</v>
      </c>
      <c r="J139" s="14">
        <f t="shared" si="67"/>
        <v>0.734375</v>
      </c>
      <c r="K139" s="13">
        <v>588</v>
      </c>
      <c r="L139" s="13">
        <v>768</v>
      </c>
      <c r="M139" s="13">
        <f t="shared" si="84"/>
        <v>-180</v>
      </c>
      <c r="N139" s="14">
        <f t="shared" si="69"/>
        <v>0.765625</v>
      </c>
      <c r="O139" s="13">
        <v>582</v>
      </c>
      <c r="P139" s="15">
        <v>672</v>
      </c>
      <c r="Q139" s="13">
        <f t="shared" si="85"/>
        <v>-90</v>
      </c>
      <c r="R139" s="14">
        <f t="shared" si="71"/>
        <v>0.8660714285714286</v>
      </c>
      <c r="S139" s="15"/>
      <c r="T139" s="13"/>
      <c r="U139" s="15">
        <f t="shared" si="86"/>
        <v>0</v>
      </c>
      <c r="V139" s="14" t="e">
        <f t="shared" si="77"/>
        <v>#DIV/0!</v>
      </c>
      <c r="W139" s="13"/>
      <c r="X139" s="13"/>
      <c r="Y139" s="13">
        <f t="shared" si="87"/>
        <v>0</v>
      </c>
      <c r="Z139" s="14" t="e">
        <f t="shared" si="74"/>
        <v>#DIV/0!</v>
      </c>
      <c r="AA139" s="16"/>
      <c r="AB139" s="15">
        <f t="shared" si="88"/>
        <v>2322</v>
      </c>
      <c r="AC139" s="15">
        <f t="shared" si="88"/>
        <v>2976</v>
      </c>
      <c r="AD139" s="15">
        <f t="shared" ref="AD139:AD146" si="90">+AB139-AC139</f>
        <v>-654</v>
      </c>
      <c r="AE139" s="14">
        <f t="shared" si="76"/>
        <v>0.780241935483871</v>
      </c>
    </row>
    <row r="140" spans="1:31" ht="30" hidden="1" customHeight="1" x14ac:dyDescent="0.25">
      <c r="A140" s="12"/>
      <c r="B140" s="13" t="s">
        <v>38</v>
      </c>
      <c r="C140" s="13">
        <v>636</v>
      </c>
      <c r="D140" s="13">
        <v>768</v>
      </c>
      <c r="E140" s="13">
        <f t="shared" si="89"/>
        <v>-132</v>
      </c>
      <c r="F140" s="14">
        <f t="shared" si="65"/>
        <v>0.828125</v>
      </c>
      <c r="G140" s="13">
        <v>708</v>
      </c>
      <c r="H140" s="13">
        <v>768</v>
      </c>
      <c r="I140" s="13">
        <f t="shared" si="83"/>
        <v>-60</v>
      </c>
      <c r="J140" s="14">
        <f t="shared" si="67"/>
        <v>0.921875</v>
      </c>
      <c r="K140" s="13">
        <v>654</v>
      </c>
      <c r="L140" s="13">
        <v>768</v>
      </c>
      <c r="M140" s="13">
        <f t="shared" si="84"/>
        <v>-114</v>
      </c>
      <c r="N140" s="14">
        <f t="shared" si="69"/>
        <v>0.8515625</v>
      </c>
      <c r="O140" s="13">
        <v>696</v>
      </c>
      <c r="P140" s="13">
        <v>714</v>
      </c>
      <c r="Q140" s="13">
        <f t="shared" si="85"/>
        <v>-18</v>
      </c>
      <c r="R140" s="14">
        <f t="shared" si="71"/>
        <v>0.97478991596638653</v>
      </c>
      <c r="S140" s="15">
        <v>564</v>
      </c>
      <c r="T140" s="13">
        <v>588</v>
      </c>
      <c r="U140" s="15">
        <f t="shared" si="86"/>
        <v>-24</v>
      </c>
      <c r="V140" s="14">
        <f t="shared" si="77"/>
        <v>0.95918367346938771</v>
      </c>
      <c r="W140" s="13"/>
      <c r="X140" s="13"/>
      <c r="Y140" s="13">
        <f t="shared" si="87"/>
        <v>0</v>
      </c>
      <c r="Z140" s="14" t="e">
        <f t="shared" si="74"/>
        <v>#DIV/0!</v>
      </c>
      <c r="AA140" s="16"/>
      <c r="AB140" s="15">
        <f t="shared" si="88"/>
        <v>3258</v>
      </c>
      <c r="AC140" s="15">
        <f t="shared" si="88"/>
        <v>3606</v>
      </c>
      <c r="AD140" s="15">
        <f t="shared" si="90"/>
        <v>-348</v>
      </c>
      <c r="AE140" s="14">
        <f t="shared" si="76"/>
        <v>0.90349417637271212</v>
      </c>
    </row>
    <row r="141" spans="1:31" ht="30" hidden="1" customHeight="1" x14ac:dyDescent="0.25">
      <c r="A141" s="12"/>
      <c r="B141" s="13" t="s">
        <v>39</v>
      </c>
      <c r="C141" s="13">
        <v>348</v>
      </c>
      <c r="D141" s="13">
        <v>672</v>
      </c>
      <c r="E141" s="13">
        <f t="shared" si="89"/>
        <v>-324</v>
      </c>
      <c r="F141" s="14">
        <f t="shared" si="65"/>
        <v>0.5178571428571429</v>
      </c>
      <c r="G141" s="13">
        <v>348</v>
      </c>
      <c r="H141" s="15">
        <v>672</v>
      </c>
      <c r="I141" s="13">
        <f t="shared" si="83"/>
        <v>-324</v>
      </c>
      <c r="J141" s="14">
        <f t="shared" si="67"/>
        <v>0.5178571428571429</v>
      </c>
      <c r="K141" s="13">
        <v>417</v>
      </c>
      <c r="L141" s="13">
        <v>672</v>
      </c>
      <c r="M141" s="13">
        <f t="shared" si="84"/>
        <v>-255</v>
      </c>
      <c r="N141" s="14">
        <f t="shared" si="69"/>
        <v>0.6205357142857143</v>
      </c>
      <c r="O141" s="13">
        <v>516</v>
      </c>
      <c r="P141" s="13">
        <v>672</v>
      </c>
      <c r="Q141" s="13">
        <f t="shared" si="85"/>
        <v>-156</v>
      </c>
      <c r="R141" s="14">
        <f t="shared" si="71"/>
        <v>0.7678571428571429</v>
      </c>
      <c r="S141" s="15">
        <v>408</v>
      </c>
      <c r="T141" s="13">
        <v>588</v>
      </c>
      <c r="U141" s="15">
        <f t="shared" si="86"/>
        <v>-180</v>
      </c>
      <c r="V141" s="14">
        <f t="shared" si="77"/>
        <v>0.69387755102040816</v>
      </c>
      <c r="W141" s="13"/>
      <c r="X141" s="13"/>
      <c r="Y141" s="13">
        <f t="shared" si="87"/>
        <v>0</v>
      </c>
      <c r="Z141" s="14" t="e">
        <f t="shared" si="74"/>
        <v>#DIV/0!</v>
      </c>
      <c r="AA141" s="16"/>
      <c r="AB141" s="15">
        <f t="shared" si="88"/>
        <v>2037</v>
      </c>
      <c r="AC141" s="15">
        <f t="shared" si="88"/>
        <v>3276</v>
      </c>
      <c r="AD141" s="15">
        <f t="shared" si="90"/>
        <v>-1239</v>
      </c>
      <c r="AE141" s="14">
        <f t="shared" si="76"/>
        <v>0.62179487179487181</v>
      </c>
    </row>
    <row r="142" spans="1:31" ht="30" hidden="1" customHeight="1" x14ac:dyDescent="0.25">
      <c r="A142" s="12"/>
      <c r="B142" s="13" t="s">
        <v>40</v>
      </c>
      <c r="C142" s="13">
        <v>468</v>
      </c>
      <c r="D142" s="13">
        <v>672</v>
      </c>
      <c r="E142" s="13">
        <f t="shared" si="89"/>
        <v>-204</v>
      </c>
      <c r="F142" s="14">
        <f t="shared" si="65"/>
        <v>0.6964285714285714</v>
      </c>
      <c r="G142" s="13">
        <v>672</v>
      </c>
      <c r="H142" s="13">
        <v>672</v>
      </c>
      <c r="I142" s="13">
        <f t="shared" si="83"/>
        <v>0</v>
      </c>
      <c r="J142" s="14">
        <f t="shared" si="67"/>
        <v>1</v>
      </c>
      <c r="K142" s="13">
        <v>672</v>
      </c>
      <c r="L142" s="13">
        <v>672</v>
      </c>
      <c r="M142" s="13">
        <f t="shared" si="84"/>
        <v>0</v>
      </c>
      <c r="N142" s="14">
        <f t="shared" si="69"/>
        <v>1</v>
      </c>
      <c r="O142" s="13">
        <v>624</v>
      </c>
      <c r="P142" s="13">
        <v>672</v>
      </c>
      <c r="Q142" s="13">
        <f t="shared" si="85"/>
        <v>-48</v>
      </c>
      <c r="R142" s="14">
        <f t="shared" si="71"/>
        <v>0.9285714285714286</v>
      </c>
      <c r="S142" s="15"/>
      <c r="T142" s="13"/>
      <c r="U142" s="15">
        <f t="shared" si="86"/>
        <v>0</v>
      </c>
      <c r="V142" s="14" t="e">
        <f t="shared" si="77"/>
        <v>#DIV/0!</v>
      </c>
      <c r="W142" s="13"/>
      <c r="X142" s="13"/>
      <c r="Y142" s="13">
        <f t="shared" si="87"/>
        <v>0</v>
      </c>
      <c r="Z142" s="14" t="e">
        <f t="shared" si="74"/>
        <v>#DIV/0!</v>
      </c>
      <c r="AA142" s="16"/>
      <c r="AB142" s="15">
        <f t="shared" si="88"/>
        <v>2436</v>
      </c>
      <c r="AC142" s="15">
        <f t="shared" si="88"/>
        <v>2688</v>
      </c>
      <c r="AD142" s="15">
        <f t="shared" si="90"/>
        <v>-252</v>
      </c>
      <c r="AE142" s="14">
        <f t="shared" si="76"/>
        <v>0.90625</v>
      </c>
    </row>
    <row r="143" spans="1:31" ht="30" hidden="1" customHeight="1" x14ac:dyDescent="0.25">
      <c r="A143" s="12"/>
      <c r="B143" s="13" t="s">
        <v>41</v>
      </c>
      <c r="C143" s="13">
        <v>588</v>
      </c>
      <c r="D143" s="13">
        <v>672</v>
      </c>
      <c r="E143" s="13">
        <f t="shared" si="89"/>
        <v>-84</v>
      </c>
      <c r="F143" s="14">
        <f t="shared" si="65"/>
        <v>0.875</v>
      </c>
      <c r="G143" s="13">
        <v>642</v>
      </c>
      <c r="H143" s="13">
        <v>672</v>
      </c>
      <c r="I143" s="13">
        <f t="shared" si="83"/>
        <v>-30</v>
      </c>
      <c r="J143" s="14">
        <f t="shared" si="67"/>
        <v>0.9553571428571429</v>
      </c>
      <c r="K143" s="13">
        <v>594</v>
      </c>
      <c r="L143" s="13">
        <v>672</v>
      </c>
      <c r="M143" s="13">
        <f t="shared" si="84"/>
        <v>-78</v>
      </c>
      <c r="N143" s="14">
        <f t="shared" si="69"/>
        <v>0.8839285714285714</v>
      </c>
      <c r="O143" s="13">
        <v>600</v>
      </c>
      <c r="P143" s="13">
        <v>714</v>
      </c>
      <c r="Q143" s="13">
        <f t="shared" si="85"/>
        <v>-114</v>
      </c>
      <c r="R143" s="14">
        <f t="shared" si="71"/>
        <v>0.84033613445378152</v>
      </c>
      <c r="S143" s="15">
        <v>594</v>
      </c>
      <c r="T143" s="13">
        <v>588</v>
      </c>
      <c r="U143" s="15">
        <f t="shared" si="86"/>
        <v>6</v>
      </c>
      <c r="V143" s="14">
        <f t="shared" si="77"/>
        <v>1.010204081632653</v>
      </c>
      <c r="W143" s="13"/>
      <c r="X143" s="13"/>
      <c r="Y143" s="13">
        <f t="shared" si="87"/>
        <v>0</v>
      </c>
      <c r="Z143" s="14" t="e">
        <f t="shared" si="74"/>
        <v>#DIV/0!</v>
      </c>
      <c r="AA143" s="16"/>
      <c r="AB143" s="15">
        <f t="shared" si="88"/>
        <v>3018</v>
      </c>
      <c r="AC143" s="15">
        <f t="shared" si="88"/>
        <v>3318</v>
      </c>
      <c r="AD143" s="15">
        <f t="shared" si="90"/>
        <v>-300</v>
      </c>
      <c r="AE143" s="14">
        <f t="shared" si="76"/>
        <v>0.90958408679927671</v>
      </c>
    </row>
    <row r="144" spans="1:31" ht="30" hidden="1" customHeight="1" x14ac:dyDescent="0.25">
      <c r="A144" s="12"/>
      <c r="B144" s="17" t="s">
        <v>22</v>
      </c>
      <c r="C144" s="17">
        <f>SUM(C134:C143)</f>
        <v>5328</v>
      </c>
      <c r="D144" s="17">
        <f>SUM(D134:D143)</f>
        <v>7008</v>
      </c>
      <c r="E144" s="17">
        <f>C144-D144</f>
        <v>-1680</v>
      </c>
      <c r="F144" s="18">
        <f t="shared" si="65"/>
        <v>0.76027397260273977</v>
      </c>
      <c r="G144" s="17">
        <f>SUM(G134:G143)</f>
        <v>6132</v>
      </c>
      <c r="H144" s="17">
        <f>SUM(H134:H143)</f>
        <v>7008</v>
      </c>
      <c r="I144" s="17">
        <f>G144-H144</f>
        <v>-876</v>
      </c>
      <c r="J144" s="18">
        <f t="shared" si="67"/>
        <v>0.875</v>
      </c>
      <c r="K144" s="17">
        <f>SUM(K134:K143)</f>
        <v>6021</v>
      </c>
      <c r="L144" s="17">
        <f>SUM(L134:L143)</f>
        <v>7008</v>
      </c>
      <c r="M144" s="17">
        <f t="shared" si="84"/>
        <v>-987</v>
      </c>
      <c r="N144" s="18">
        <f t="shared" si="69"/>
        <v>0.8591609589041096</v>
      </c>
      <c r="O144" s="17">
        <f>SUM(O134:O143)</f>
        <v>6222</v>
      </c>
      <c r="P144" s="17">
        <f>SUM(P134:P143)</f>
        <v>6846</v>
      </c>
      <c r="Q144" s="17">
        <f>O144-P144</f>
        <v>-624</v>
      </c>
      <c r="R144" s="18">
        <f t="shared" si="71"/>
        <v>0.90885188431200703</v>
      </c>
      <c r="S144" s="17">
        <f>SUM(S134:S143)</f>
        <v>1566</v>
      </c>
      <c r="T144" s="17">
        <f>SUM(T134:T143)</f>
        <v>1764</v>
      </c>
      <c r="U144" s="17">
        <f t="shared" si="86"/>
        <v>-198</v>
      </c>
      <c r="V144" s="18">
        <f t="shared" si="77"/>
        <v>0.88775510204081631</v>
      </c>
      <c r="W144" s="17">
        <f>SUM(W134:W143)</f>
        <v>0</v>
      </c>
      <c r="X144" s="17">
        <f>SUM(X134:X143)</f>
        <v>0</v>
      </c>
      <c r="Y144" s="17">
        <f>W144-X144</f>
        <v>0</v>
      </c>
      <c r="Z144" s="18" t="e">
        <f t="shared" si="74"/>
        <v>#DIV/0!</v>
      </c>
      <c r="AA144" s="19">
        <f>SUM(AA134:AA143)</f>
        <v>0</v>
      </c>
      <c r="AB144" s="17">
        <f>SUM(AB134:AB143)</f>
        <v>25269</v>
      </c>
      <c r="AC144" s="17">
        <f>SUM(AC134:AC143)</f>
        <v>29634</v>
      </c>
      <c r="AD144" s="17">
        <f t="shared" si="90"/>
        <v>-4365</v>
      </c>
      <c r="AE144" s="18">
        <f t="shared" si="76"/>
        <v>0.85270297631099412</v>
      </c>
    </row>
    <row r="145" spans="1:31" ht="30" hidden="1" customHeight="1" x14ac:dyDescent="0.25">
      <c r="A145" s="12"/>
      <c r="B145" s="13" t="s">
        <v>42</v>
      </c>
      <c r="C145" s="13">
        <v>732</v>
      </c>
      <c r="D145" s="13">
        <v>768</v>
      </c>
      <c r="E145" s="13">
        <f t="shared" ref="E145:E150" si="91">+C145-D145</f>
        <v>-36</v>
      </c>
      <c r="F145" s="14">
        <f t="shared" si="65"/>
        <v>0.953125</v>
      </c>
      <c r="G145" s="13">
        <v>744</v>
      </c>
      <c r="H145" s="13">
        <v>768</v>
      </c>
      <c r="I145" s="13">
        <f t="shared" ref="I145:I150" si="92">+G145-H145</f>
        <v>-24</v>
      </c>
      <c r="J145" s="14">
        <f t="shared" si="67"/>
        <v>0.96875</v>
      </c>
      <c r="K145" s="13">
        <v>756</v>
      </c>
      <c r="L145" s="13">
        <v>768</v>
      </c>
      <c r="M145" s="13">
        <f t="shared" si="84"/>
        <v>-12</v>
      </c>
      <c r="N145" s="14">
        <f t="shared" si="69"/>
        <v>0.984375</v>
      </c>
      <c r="O145" s="13">
        <v>600</v>
      </c>
      <c r="P145" s="13">
        <v>672</v>
      </c>
      <c r="Q145" s="13">
        <f t="shared" ref="Q145:Q150" si="93">+O145-P145</f>
        <v>-72</v>
      </c>
      <c r="R145" s="14">
        <f t="shared" si="71"/>
        <v>0.8928571428571429</v>
      </c>
      <c r="S145" s="15"/>
      <c r="T145" s="13"/>
      <c r="U145" s="15">
        <f t="shared" si="86"/>
        <v>0</v>
      </c>
      <c r="V145" s="14" t="e">
        <f t="shared" si="77"/>
        <v>#DIV/0!</v>
      </c>
      <c r="W145" s="13"/>
      <c r="X145" s="13"/>
      <c r="Y145" s="13">
        <f t="shared" ref="Y145:Y150" si="94">+W145-X145</f>
        <v>0</v>
      </c>
      <c r="Z145" s="14" t="e">
        <f t="shared" si="74"/>
        <v>#DIV/0!</v>
      </c>
      <c r="AA145" s="16"/>
      <c r="AB145" s="15">
        <f t="shared" ref="AB145:AC150" si="95">+C145+G145+K145+O145+S145+W145</f>
        <v>2832</v>
      </c>
      <c r="AC145" s="15">
        <f t="shared" si="95"/>
        <v>2976</v>
      </c>
      <c r="AD145" s="15">
        <f t="shared" si="90"/>
        <v>-144</v>
      </c>
      <c r="AE145" s="14">
        <f t="shared" si="76"/>
        <v>0.95161290322580649</v>
      </c>
    </row>
    <row r="146" spans="1:31" ht="30" hidden="1" customHeight="1" x14ac:dyDescent="0.25">
      <c r="A146" s="12"/>
      <c r="B146" s="13" t="s">
        <v>43</v>
      </c>
      <c r="C146" s="13">
        <v>582</v>
      </c>
      <c r="D146" s="15">
        <v>540</v>
      </c>
      <c r="E146" s="13">
        <f t="shared" si="91"/>
        <v>42</v>
      </c>
      <c r="F146" s="14">
        <f t="shared" si="65"/>
        <v>1.0777777777777777</v>
      </c>
      <c r="G146" s="13">
        <v>450</v>
      </c>
      <c r="H146" s="13">
        <v>480</v>
      </c>
      <c r="I146" s="13">
        <f t="shared" si="92"/>
        <v>-30</v>
      </c>
      <c r="J146" s="14">
        <f t="shared" si="67"/>
        <v>0.9375</v>
      </c>
      <c r="K146" s="13">
        <v>528</v>
      </c>
      <c r="L146" s="13">
        <v>504</v>
      </c>
      <c r="M146" s="13">
        <f t="shared" si="84"/>
        <v>24</v>
      </c>
      <c r="N146" s="14">
        <f t="shared" si="69"/>
        <v>1.0476190476190477</v>
      </c>
      <c r="O146" s="13">
        <v>480</v>
      </c>
      <c r="P146" s="15">
        <v>504</v>
      </c>
      <c r="Q146" s="13">
        <f t="shared" si="93"/>
        <v>-24</v>
      </c>
      <c r="R146" s="14">
        <f t="shared" si="71"/>
        <v>0.95238095238095233</v>
      </c>
      <c r="S146" s="15"/>
      <c r="T146" s="13"/>
      <c r="U146" s="15">
        <f t="shared" si="86"/>
        <v>0</v>
      </c>
      <c r="V146" s="14" t="e">
        <f t="shared" si="77"/>
        <v>#DIV/0!</v>
      </c>
      <c r="W146" s="13"/>
      <c r="X146" s="13"/>
      <c r="Y146" s="13">
        <f t="shared" si="94"/>
        <v>0</v>
      </c>
      <c r="Z146" s="14" t="e">
        <f t="shared" si="74"/>
        <v>#DIV/0!</v>
      </c>
      <c r="AA146" s="16"/>
      <c r="AB146" s="15">
        <f t="shared" si="95"/>
        <v>2040</v>
      </c>
      <c r="AC146" s="15">
        <f t="shared" si="95"/>
        <v>2028</v>
      </c>
      <c r="AD146" s="15">
        <f t="shared" si="90"/>
        <v>12</v>
      </c>
      <c r="AE146" s="14">
        <f t="shared" si="76"/>
        <v>1.0059171597633136</v>
      </c>
    </row>
    <row r="147" spans="1:31" ht="30" hidden="1" customHeight="1" x14ac:dyDescent="0.25">
      <c r="A147" s="12"/>
      <c r="B147" s="13" t="s">
        <v>44</v>
      </c>
      <c r="C147" s="13">
        <v>366</v>
      </c>
      <c r="D147" s="13">
        <v>552</v>
      </c>
      <c r="E147" s="13">
        <f t="shared" si="91"/>
        <v>-186</v>
      </c>
      <c r="F147" s="14">
        <f t="shared" si="65"/>
        <v>0.66304347826086951</v>
      </c>
      <c r="G147" s="13">
        <v>420</v>
      </c>
      <c r="H147" s="13">
        <v>600</v>
      </c>
      <c r="I147" s="13">
        <f t="shared" si="92"/>
        <v>-180</v>
      </c>
      <c r="J147" s="14">
        <f t="shared" si="67"/>
        <v>0.7</v>
      </c>
      <c r="K147" s="13">
        <v>438</v>
      </c>
      <c r="L147" s="13">
        <v>600</v>
      </c>
      <c r="M147" s="13">
        <f>+K147-L147</f>
        <v>-162</v>
      </c>
      <c r="N147" s="14">
        <f t="shared" si="69"/>
        <v>0.73</v>
      </c>
      <c r="O147" s="13">
        <v>438</v>
      </c>
      <c r="P147" s="13">
        <v>600</v>
      </c>
      <c r="Q147" s="13">
        <f t="shared" si="93"/>
        <v>-162</v>
      </c>
      <c r="R147" s="14">
        <f t="shared" si="71"/>
        <v>0.73</v>
      </c>
      <c r="S147" s="15"/>
      <c r="T147" s="13"/>
      <c r="U147" s="15">
        <f>+S147-T147</f>
        <v>0</v>
      </c>
      <c r="V147" s="14" t="e">
        <f t="shared" si="77"/>
        <v>#DIV/0!</v>
      </c>
      <c r="W147" s="13"/>
      <c r="X147" s="13"/>
      <c r="Y147" s="13">
        <f t="shared" si="94"/>
        <v>0</v>
      </c>
      <c r="Z147" s="14" t="e">
        <f t="shared" si="74"/>
        <v>#DIV/0!</v>
      </c>
      <c r="AA147" s="16"/>
      <c r="AB147" s="15">
        <f t="shared" si="95"/>
        <v>1662</v>
      </c>
      <c r="AC147" s="15">
        <f t="shared" si="95"/>
        <v>2352</v>
      </c>
      <c r="AD147" s="15">
        <f>+AB147-AC147</f>
        <v>-690</v>
      </c>
      <c r="AE147" s="14">
        <f t="shared" si="76"/>
        <v>0.70663265306122447</v>
      </c>
    </row>
    <row r="148" spans="1:31" ht="30" hidden="1" customHeight="1" x14ac:dyDescent="0.25">
      <c r="A148" s="12"/>
      <c r="B148" s="13" t="s">
        <v>45</v>
      </c>
      <c r="C148" s="13">
        <v>540</v>
      </c>
      <c r="D148" s="13">
        <v>768</v>
      </c>
      <c r="E148" s="13">
        <f t="shared" si="91"/>
        <v>-228</v>
      </c>
      <c r="F148" s="14">
        <f t="shared" si="65"/>
        <v>0.703125</v>
      </c>
      <c r="G148" s="13">
        <v>612</v>
      </c>
      <c r="H148" s="13">
        <v>768</v>
      </c>
      <c r="I148" s="13">
        <f t="shared" si="92"/>
        <v>-156</v>
      </c>
      <c r="J148" s="14">
        <f t="shared" si="67"/>
        <v>0.796875</v>
      </c>
      <c r="K148" s="13">
        <v>636</v>
      </c>
      <c r="L148" s="13">
        <v>768</v>
      </c>
      <c r="M148" s="13">
        <f>+K148-L148</f>
        <v>-132</v>
      </c>
      <c r="N148" s="14">
        <f t="shared" si="69"/>
        <v>0.828125</v>
      </c>
      <c r="O148" s="13">
        <v>648</v>
      </c>
      <c r="P148" s="13">
        <v>714</v>
      </c>
      <c r="Q148" s="13">
        <f t="shared" si="93"/>
        <v>-66</v>
      </c>
      <c r="R148" s="14">
        <f t="shared" si="71"/>
        <v>0.90756302521008403</v>
      </c>
      <c r="S148" s="15"/>
      <c r="T148" s="13"/>
      <c r="U148" s="15">
        <f>+S148-T148</f>
        <v>0</v>
      </c>
      <c r="V148" s="14" t="e">
        <f t="shared" si="77"/>
        <v>#DIV/0!</v>
      </c>
      <c r="W148" s="13"/>
      <c r="X148" s="13"/>
      <c r="Y148" s="13">
        <f t="shared" si="94"/>
        <v>0</v>
      </c>
      <c r="Z148" s="14" t="e">
        <f t="shared" si="74"/>
        <v>#DIV/0!</v>
      </c>
      <c r="AA148" s="16"/>
      <c r="AB148" s="15">
        <f t="shared" si="95"/>
        <v>2436</v>
      </c>
      <c r="AC148" s="15">
        <f t="shared" si="95"/>
        <v>3018</v>
      </c>
      <c r="AD148" s="15">
        <f>+AB148-AC148</f>
        <v>-582</v>
      </c>
      <c r="AE148" s="14">
        <f t="shared" si="76"/>
        <v>0.80715705765407553</v>
      </c>
    </row>
    <row r="149" spans="1:31" ht="30" hidden="1" customHeight="1" x14ac:dyDescent="0.25">
      <c r="A149" s="12"/>
      <c r="B149" s="13" t="s">
        <v>46</v>
      </c>
      <c r="C149" s="13">
        <v>528</v>
      </c>
      <c r="D149" s="13">
        <v>768</v>
      </c>
      <c r="E149" s="13">
        <f t="shared" si="91"/>
        <v>-240</v>
      </c>
      <c r="F149" s="14">
        <f t="shared" si="65"/>
        <v>0.6875</v>
      </c>
      <c r="G149" s="13">
        <v>576</v>
      </c>
      <c r="H149" s="13">
        <v>768</v>
      </c>
      <c r="I149" s="13">
        <f t="shared" si="92"/>
        <v>-192</v>
      </c>
      <c r="J149" s="14">
        <f t="shared" si="67"/>
        <v>0.75</v>
      </c>
      <c r="K149" s="13">
        <v>540</v>
      </c>
      <c r="L149" s="13">
        <v>768</v>
      </c>
      <c r="M149" s="13">
        <f>+K149-L149</f>
        <v>-228</v>
      </c>
      <c r="N149" s="14">
        <f t="shared" si="69"/>
        <v>0.703125</v>
      </c>
      <c r="O149" s="13">
        <v>486</v>
      </c>
      <c r="P149" s="13">
        <v>672</v>
      </c>
      <c r="Q149" s="13">
        <f t="shared" si="93"/>
        <v>-186</v>
      </c>
      <c r="R149" s="14">
        <f t="shared" si="71"/>
        <v>0.7232142857142857</v>
      </c>
      <c r="S149" s="15"/>
      <c r="T149" s="13"/>
      <c r="U149" s="15">
        <f>+S149-T149</f>
        <v>0</v>
      </c>
      <c r="V149" s="14" t="e">
        <f t="shared" si="77"/>
        <v>#DIV/0!</v>
      </c>
      <c r="W149" s="13"/>
      <c r="X149" s="13"/>
      <c r="Y149" s="13">
        <f t="shared" si="94"/>
        <v>0</v>
      </c>
      <c r="Z149" s="14" t="e">
        <f t="shared" si="74"/>
        <v>#DIV/0!</v>
      </c>
      <c r="AA149" s="16"/>
      <c r="AB149" s="15">
        <f t="shared" si="95"/>
        <v>2130</v>
      </c>
      <c r="AC149" s="15">
        <f t="shared" si="95"/>
        <v>2976</v>
      </c>
      <c r="AD149" s="15">
        <f>+AB149-AC149</f>
        <v>-846</v>
      </c>
      <c r="AE149" s="14">
        <f t="shared" si="76"/>
        <v>0.71572580645161288</v>
      </c>
    </row>
    <row r="150" spans="1:31" ht="30" hidden="1" customHeight="1" x14ac:dyDescent="0.25">
      <c r="A150" s="12"/>
      <c r="B150" s="13" t="s">
        <v>47</v>
      </c>
      <c r="C150" s="13">
        <v>288</v>
      </c>
      <c r="D150" s="13">
        <v>408</v>
      </c>
      <c r="E150" s="13">
        <f t="shared" si="91"/>
        <v>-120</v>
      </c>
      <c r="F150" s="14">
        <f t="shared" si="65"/>
        <v>0.70588235294117652</v>
      </c>
      <c r="G150" s="13">
        <v>240</v>
      </c>
      <c r="H150" s="13">
        <v>408</v>
      </c>
      <c r="I150" s="13">
        <f t="shared" si="92"/>
        <v>-168</v>
      </c>
      <c r="J150" s="14">
        <f t="shared" si="67"/>
        <v>0.58823529411764708</v>
      </c>
      <c r="K150" s="13">
        <v>336</v>
      </c>
      <c r="L150" s="13">
        <v>456</v>
      </c>
      <c r="M150" s="13">
        <f>+K150-L150</f>
        <v>-120</v>
      </c>
      <c r="N150" s="14">
        <f t="shared" si="69"/>
        <v>0.73684210526315785</v>
      </c>
      <c r="O150" s="13">
        <v>372</v>
      </c>
      <c r="P150" s="13">
        <v>456</v>
      </c>
      <c r="Q150" s="13">
        <f t="shared" si="93"/>
        <v>-84</v>
      </c>
      <c r="R150" s="14">
        <f t="shared" si="71"/>
        <v>0.81578947368421051</v>
      </c>
      <c r="S150" s="15"/>
      <c r="T150" s="13"/>
      <c r="U150" s="15">
        <f>+S150-T150</f>
        <v>0</v>
      </c>
      <c r="V150" s="14" t="e">
        <f t="shared" si="77"/>
        <v>#DIV/0!</v>
      </c>
      <c r="W150" s="13"/>
      <c r="X150" s="13"/>
      <c r="Y150" s="13">
        <f t="shared" si="94"/>
        <v>0</v>
      </c>
      <c r="Z150" s="14" t="e">
        <f t="shared" si="74"/>
        <v>#DIV/0!</v>
      </c>
      <c r="AA150" s="16"/>
      <c r="AB150" s="15">
        <f t="shared" si="95"/>
        <v>1236</v>
      </c>
      <c r="AC150" s="15">
        <f t="shared" si="95"/>
        <v>1728</v>
      </c>
      <c r="AD150" s="15">
        <f>+AB150-AC150</f>
        <v>-492</v>
      </c>
      <c r="AE150" s="14">
        <f t="shared" si="76"/>
        <v>0.71527777777777779</v>
      </c>
    </row>
    <row r="151" spans="1:31" ht="30" hidden="1" customHeight="1" x14ac:dyDescent="0.25">
      <c r="A151" s="12"/>
      <c r="B151" s="17" t="s">
        <v>22</v>
      </c>
      <c r="C151" s="17">
        <f>SUM(C145:C150)</f>
        <v>3036</v>
      </c>
      <c r="D151" s="17">
        <f>SUM(D145:D150)</f>
        <v>3804</v>
      </c>
      <c r="E151" s="17">
        <f>C151-D151</f>
        <v>-768</v>
      </c>
      <c r="F151" s="18">
        <f t="shared" si="65"/>
        <v>0.79810725552050477</v>
      </c>
      <c r="G151" s="17">
        <f>SUM(G145:G150)</f>
        <v>3042</v>
      </c>
      <c r="H151" s="17">
        <f>SUM(H145:H150)</f>
        <v>3792</v>
      </c>
      <c r="I151" s="17">
        <f>G151-H151</f>
        <v>-750</v>
      </c>
      <c r="J151" s="18">
        <f t="shared" si="67"/>
        <v>0.80221518987341767</v>
      </c>
      <c r="K151" s="17">
        <f>SUM(K145:K150)</f>
        <v>3234</v>
      </c>
      <c r="L151" s="17">
        <f>SUM(L145:L150)</f>
        <v>3864</v>
      </c>
      <c r="M151" s="17">
        <f>+K151-L151</f>
        <v>-630</v>
      </c>
      <c r="N151" s="18">
        <f t="shared" si="69"/>
        <v>0.83695652173913049</v>
      </c>
      <c r="O151" s="17">
        <f>SUM(O145:O150)</f>
        <v>3024</v>
      </c>
      <c r="P151" s="17">
        <f>SUM(P145:P150)</f>
        <v>3618</v>
      </c>
      <c r="Q151" s="17">
        <f>O151-P151</f>
        <v>-594</v>
      </c>
      <c r="R151" s="18">
        <f t="shared" si="71"/>
        <v>0.83582089552238803</v>
      </c>
      <c r="S151" s="17">
        <f>SUM(S145:S150)</f>
        <v>0</v>
      </c>
      <c r="T151" s="17">
        <f>SUM(T145:T150)</f>
        <v>0</v>
      </c>
      <c r="U151" s="17">
        <f>+S151-T151</f>
        <v>0</v>
      </c>
      <c r="V151" s="18" t="e">
        <f t="shared" si="77"/>
        <v>#DIV/0!</v>
      </c>
      <c r="W151" s="17">
        <f>SUM(W145:W150)</f>
        <v>0</v>
      </c>
      <c r="X151" s="17">
        <f>SUM(X145:X150)</f>
        <v>0</v>
      </c>
      <c r="Y151" s="17">
        <f>W151-X151</f>
        <v>0</v>
      </c>
      <c r="Z151" s="18" t="e">
        <f t="shared" si="74"/>
        <v>#DIV/0!</v>
      </c>
      <c r="AA151" s="19">
        <f>SUM(AA145:AA150)</f>
        <v>0</v>
      </c>
      <c r="AB151" s="17">
        <f>SUM(AB145:AB150)</f>
        <v>12336</v>
      </c>
      <c r="AC151" s="17">
        <f>SUM(AC145:AC150)</f>
        <v>15078</v>
      </c>
      <c r="AD151" s="17">
        <f>+AB151-AC151</f>
        <v>-2742</v>
      </c>
      <c r="AE151" s="18">
        <f t="shared" si="76"/>
        <v>0.81814564265817746</v>
      </c>
    </row>
    <row r="152" spans="1:31" ht="30" hidden="1" customHeight="1" x14ac:dyDescent="0.25">
      <c r="A152" s="20" t="s">
        <v>48</v>
      </c>
      <c r="B152" s="20"/>
      <c r="C152" s="19">
        <f>SUM(C144,C151)</f>
        <v>8364</v>
      </c>
      <c r="D152" s="19">
        <f>SUM(D144,D151)</f>
        <v>10812</v>
      </c>
      <c r="E152" s="19">
        <f>C152-D152</f>
        <v>-2448</v>
      </c>
      <c r="F152" s="21">
        <f t="shared" si="65"/>
        <v>0.77358490566037741</v>
      </c>
      <c r="G152" s="19">
        <f>SUM(G144,G151)</f>
        <v>9174</v>
      </c>
      <c r="H152" s="19">
        <f>SUM(H144,H151)</f>
        <v>10800</v>
      </c>
      <c r="I152" s="19">
        <f>G152-H152</f>
        <v>-1626</v>
      </c>
      <c r="J152" s="21">
        <f t="shared" si="67"/>
        <v>0.84944444444444445</v>
      </c>
      <c r="K152" s="19">
        <f>SUM(K144,K151)</f>
        <v>9255</v>
      </c>
      <c r="L152" s="19">
        <f>SUM(L144,L151)</f>
        <v>10872</v>
      </c>
      <c r="M152" s="19">
        <f>K152-L152</f>
        <v>-1617</v>
      </c>
      <c r="N152" s="21">
        <f t="shared" si="69"/>
        <v>0.85126931567328923</v>
      </c>
      <c r="O152" s="19">
        <f>SUM(O144,O151)</f>
        <v>9246</v>
      </c>
      <c r="P152" s="19">
        <f>SUM(P144,P151)</f>
        <v>10464</v>
      </c>
      <c r="Q152" s="19">
        <f>O152-P152</f>
        <v>-1218</v>
      </c>
      <c r="R152" s="21">
        <f t="shared" si="71"/>
        <v>0.88360091743119262</v>
      </c>
      <c r="S152" s="19">
        <f>SUM(S144,S151)</f>
        <v>1566</v>
      </c>
      <c r="T152" s="19">
        <f>SUM(T144,T151)</f>
        <v>1764</v>
      </c>
      <c r="U152" s="19">
        <f>S152-T152</f>
        <v>-198</v>
      </c>
      <c r="V152" s="21">
        <f t="shared" si="77"/>
        <v>0.88775510204081631</v>
      </c>
      <c r="W152" s="19">
        <f>SUM(W144,W151)</f>
        <v>0</v>
      </c>
      <c r="X152" s="19">
        <f>SUM(X144,X151)</f>
        <v>0</v>
      </c>
      <c r="Y152" s="19">
        <f>W152-X152</f>
        <v>0</v>
      </c>
      <c r="Z152" s="21" t="e">
        <f t="shared" si="74"/>
        <v>#DIV/0!</v>
      </c>
      <c r="AA152" s="19">
        <f>SUM(AA144,AA151)</f>
        <v>0</v>
      </c>
      <c r="AB152" s="19">
        <f>SUM(AB144,AB151)</f>
        <v>37605</v>
      </c>
      <c r="AC152" s="19">
        <f>SUM(AC144,AC151)</f>
        <v>44712</v>
      </c>
      <c r="AD152" s="19">
        <f>AB152-AC152</f>
        <v>-7107</v>
      </c>
      <c r="AE152" s="21">
        <f t="shared" si="76"/>
        <v>0.84104938271604934</v>
      </c>
    </row>
    <row r="153" spans="1:31" ht="30" hidden="1" customHeight="1" x14ac:dyDescent="0.25">
      <c r="A153" s="22" t="s">
        <v>49</v>
      </c>
      <c r="B153" s="22"/>
      <c r="C153" s="23">
        <f>+C133-C152</f>
        <v>720</v>
      </c>
      <c r="D153" s="23"/>
      <c r="E153" s="24"/>
      <c r="F153" s="23"/>
      <c r="G153" s="23">
        <f>+G133-G152</f>
        <v>16</v>
      </c>
      <c r="H153" s="23"/>
      <c r="I153" s="24"/>
      <c r="J153" s="23"/>
      <c r="K153" s="23">
        <f>+K133-K152</f>
        <v>-491</v>
      </c>
      <c r="L153" s="23"/>
      <c r="M153" s="24"/>
      <c r="N153" s="23"/>
      <c r="O153" s="23">
        <f>+O133-O152</f>
        <v>-972</v>
      </c>
      <c r="P153" s="23"/>
      <c r="Q153" s="24"/>
      <c r="R153" s="23"/>
      <c r="S153" s="23">
        <f>+S133-S152</f>
        <v>2412</v>
      </c>
      <c r="T153" s="23"/>
      <c r="U153" s="24"/>
      <c r="V153" s="23"/>
      <c r="W153" s="23">
        <f>+W133-W152</f>
        <v>0</v>
      </c>
      <c r="X153" s="23"/>
      <c r="Y153" s="24"/>
      <c r="Z153" s="23"/>
      <c r="AA153" s="23">
        <f>+AA132-AA151</f>
        <v>0</v>
      </c>
      <c r="AB153" s="23">
        <f>+AB133-AB152</f>
        <v>1685</v>
      </c>
      <c r="AC153" s="24"/>
      <c r="AD153" s="24"/>
      <c r="AE153" s="24"/>
    </row>
    <row r="154" spans="1:31" hidden="1" x14ac:dyDescent="0.25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</row>
    <row r="155" spans="1:31" ht="15.75" hidden="1" x14ac:dyDescent="0.25">
      <c r="A155" s="26" t="s">
        <v>50</v>
      </c>
      <c r="B155" s="27" t="s">
        <v>51</v>
      </c>
      <c r="C155" s="27">
        <v>9084</v>
      </c>
      <c r="D155" s="27"/>
      <c r="E155" s="27"/>
      <c r="F155" s="27"/>
      <c r="G155" s="27">
        <v>9190</v>
      </c>
      <c r="H155" s="27"/>
      <c r="I155" s="27"/>
      <c r="J155" s="27"/>
      <c r="K155" s="27">
        <v>8764</v>
      </c>
      <c r="L155" s="27"/>
      <c r="M155" s="27"/>
      <c r="N155" s="27"/>
      <c r="O155" s="27">
        <v>8274</v>
      </c>
      <c r="P155" s="27"/>
      <c r="Q155" s="27"/>
      <c r="R155" s="27"/>
      <c r="S155" s="27">
        <v>3978</v>
      </c>
      <c r="T155" s="27"/>
      <c r="U155" s="27"/>
      <c r="V155" s="27"/>
      <c r="W155" s="27"/>
      <c r="X155" s="27"/>
      <c r="Y155" s="27"/>
      <c r="Z155" s="27"/>
      <c r="AA155" s="27"/>
      <c r="AB155" s="27">
        <f>SUM(C155:AA155)</f>
        <v>39290</v>
      </c>
      <c r="AC155" s="27"/>
      <c r="AD155" s="27"/>
      <c r="AE155" s="27"/>
    </row>
    <row r="156" spans="1:31" ht="15.75" hidden="1" x14ac:dyDescent="0.25">
      <c r="A156" s="26"/>
      <c r="B156" s="27" t="s">
        <v>52</v>
      </c>
      <c r="C156" s="27">
        <v>8364</v>
      </c>
      <c r="D156" s="27"/>
      <c r="E156" s="27"/>
      <c r="F156" s="27"/>
      <c r="G156" s="27">
        <v>9174</v>
      </c>
      <c r="H156" s="27"/>
      <c r="I156" s="27"/>
      <c r="J156" s="27"/>
      <c r="K156" s="27">
        <v>9255</v>
      </c>
      <c r="L156" s="27"/>
      <c r="M156" s="27"/>
      <c r="N156" s="27"/>
      <c r="O156" s="27">
        <v>9246</v>
      </c>
      <c r="P156" s="27"/>
      <c r="Q156" s="27"/>
      <c r="R156" s="27"/>
      <c r="S156" s="27">
        <v>1566</v>
      </c>
      <c r="T156" s="27"/>
      <c r="U156" s="27"/>
      <c r="V156" s="27"/>
      <c r="W156" s="27"/>
      <c r="X156" s="27"/>
      <c r="Y156" s="27"/>
      <c r="Z156" s="27"/>
      <c r="AA156" s="27"/>
      <c r="AB156" s="27">
        <f>SUM(C156:AA156)</f>
        <v>37605</v>
      </c>
      <c r="AC156" s="27"/>
      <c r="AD156" s="27"/>
      <c r="AE156" s="27"/>
    </row>
    <row r="157" spans="1:31" ht="15.75" hidden="1" x14ac:dyDescent="0.25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</row>
    <row r="158" spans="1:31" ht="15.75" hidden="1" x14ac:dyDescent="0.25">
      <c r="A158" s="27"/>
      <c r="B158" s="27"/>
      <c r="C158" s="27" t="b">
        <f>C133=C155</f>
        <v>1</v>
      </c>
      <c r="D158" s="27"/>
      <c r="E158" s="27"/>
      <c r="F158" s="27"/>
      <c r="G158" s="27" t="b">
        <f>G133=G155</f>
        <v>1</v>
      </c>
      <c r="H158" s="27"/>
      <c r="I158" s="27"/>
      <c r="J158" s="27"/>
      <c r="K158" s="27" t="b">
        <f>K133=K155</f>
        <v>1</v>
      </c>
      <c r="L158" s="27"/>
      <c r="M158" s="27"/>
      <c r="N158" s="27"/>
      <c r="O158" s="27" t="b">
        <f>O133=O155</f>
        <v>1</v>
      </c>
      <c r="P158" s="27"/>
      <c r="Q158" s="27"/>
      <c r="R158" s="27"/>
      <c r="S158" s="27" t="b">
        <f>S133=S155</f>
        <v>1</v>
      </c>
      <c r="T158" s="27"/>
      <c r="U158" s="27"/>
      <c r="V158" s="27"/>
      <c r="W158" s="27" t="b">
        <f>W133=W155</f>
        <v>1</v>
      </c>
      <c r="X158" s="27"/>
      <c r="Y158" s="27"/>
      <c r="Z158" s="27"/>
      <c r="AA158" s="27"/>
      <c r="AB158" s="27" t="b">
        <f>AB155=AB133</f>
        <v>1</v>
      </c>
      <c r="AC158" s="27"/>
      <c r="AD158" s="27"/>
      <c r="AE158" s="27"/>
    </row>
    <row r="159" spans="1:31" ht="15.75" hidden="1" x14ac:dyDescent="0.25">
      <c r="A159" s="27"/>
      <c r="B159" s="27"/>
      <c r="C159" s="27" t="b">
        <f>C156=C152</f>
        <v>1</v>
      </c>
      <c r="D159" s="27"/>
      <c r="E159" s="27"/>
      <c r="F159" s="27"/>
      <c r="G159" s="27" t="b">
        <f>G156=G152</f>
        <v>1</v>
      </c>
      <c r="H159" s="27"/>
      <c r="I159" s="27"/>
      <c r="J159" s="27"/>
      <c r="K159" s="27" t="b">
        <f>K156=K152</f>
        <v>1</v>
      </c>
      <c r="L159" s="27"/>
      <c r="M159" s="27"/>
      <c r="N159" s="27"/>
      <c r="O159" s="27" t="b">
        <f>O156=O152</f>
        <v>1</v>
      </c>
      <c r="P159" s="27"/>
      <c r="Q159" s="27"/>
      <c r="R159" s="27"/>
      <c r="S159" s="27" t="b">
        <f>S156=S152</f>
        <v>1</v>
      </c>
      <c r="T159" s="27"/>
      <c r="U159" s="27"/>
      <c r="V159" s="27"/>
      <c r="W159" s="27" t="b">
        <f>W156=W152</f>
        <v>1</v>
      </c>
      <c r="X159" s="27"/>
      <c r="Y159" s="27"/>
      <c r="Z159" s="27"/>
      <c r="AA159" s="27"/>
      <c r="AB159" s="27" t="b">
        <f>AB156=AB152</f>
        <v>1</v>
      </c>
      <c r="AC159" s="27"/>
      <c r="AD159" s="27"/>
      <c r="AE159" s="27"/>
    </row>
    <row r="160" spans="1:31" hidden="1" x14ac:dyDescent="0.25"/>
    <row r="161" spans="1:31" ht="21" x14ac:dyDescent="0.25">
      <c r="A161" s="1" t="s">
        <v>0</v>
      </c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2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spans="1:31" ht="30" customHeight="1" x14ac:dyDescent="0.25">
      <c r="A163" s="3"/>
      <c r="B163" s="3" t="s">
        <v>1</v>
      </c>
      <c r="C163" s="3" t="s">
        <v>57</v>
      </c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 spans="1:31" ht="30" customHeight="1" x14ac:dyDescent="0.25">
      <c r="A164" s="3"/>
      <c r="B164" s="3"/>
      <c r="C164" s="4">
        <v>46258</v>
      </c>
      <c r="D164" s="4"/>
      <c r="E164" s="4"/>
      <c r="F164" s="4"/>
      <c r="G164" s="4">
        <v>46260</v>
      </c>
      <c r="H164" s="4"/>
      <c r="I164" s="4"/>
      <c r="J164" s="4"/>
      <c r="K164" s="4">
        <v>46261</v>
      </c>
      <c r="L164" s="4"/>
      <c r="M164" s="4"/>
      <c r="N164" s="4"/>
      <c r="O164" s="4">
        <v>46262</v>
      </c>
      <c r="P164" s="4"/>
      <c r="Q164" s="4"/>
      <c r="R164" s="4"/>
      <c r="S164" s="4">
        <v>46263</v>
      </c>
      <c r="T164" s="4"/>
      <c r="U164" s="4"/>
      <c r="V164" s="4"/>
      <c r="W164" s="4">
        <v>46264</v>
      </c>
      <c r="X164" s="4"/>
      <c r="Y164" s="4"/>
      <c r="Z164" s="4"/>
      <c r="AA164" s="8"/>
      <c r="AB164" s="9" t="s">
        <v>58</v>
      </c>
      <c r="AC164" s="9"/>
      <c r="AD164" s="9"/>
      <c r="AE164" s="9"/>
    </row>
    <row r="165" spans="1:31" ht="30" customHeight="1" x14ac:dyDescent="0.25">
      <c r="A165" s="3"/>
      <c r="B165" s="3" t="s">
        <v>1</v>
      </c>
      <c r="C165" s="10" t="s">
        <v>4</v>
      </c>
      <c r="D165" s="10" t="s">
        <v>5</v>
      </c>
      <c r="E165" s="10" t="s">
        <v>6</v>
      </c>
      <c r="F165" s="10" t="s">
        <v>7</v>
      </c>
      <c r="G165" s="10" t="s">
        <v>4</v>
      </c>
      <c r="H165" s="10" t="s">
        <v>5</v>
      </c>
      <c r="I165" s="10" t="s">
        <v>6</v>
      </c>
      <c r="J165" s="10" t="s">
        <v>7</v>
      </c>
      <c r="K165" s="10" t="s">
        <v>4</v>
      </c>
      <c r="L165" s="10" t="s">
        <v>5</v>
      </c>
      <c r="M165" s="10" t="s">
        <v>6</v>
      </c>
      <c r="N165" s="10" t="s">
        <v>7</v>
      </c>
      <c r="O165" s="10" t="s">
        <v>4</v>
      </c>
      <c r="P165" s="10" t="s">
        <v>5</v>
      </c>
      <c r="Q165" s="10" t="s">
        <v>6</v>
      </c>
      <c r="R165" s="10" t="s">
        <v>7</v>
      </c>
      <c r="S165" s="10" t="s">
        <v>4</v>
      </c>
      <c r="T165" s="10" t="s">
        <v>5</v>
      </c>
      <c r="U165" s="10" t="s">
        <v>6</v>
      </c>
      <c r="V165" s="10" t="s">
        <v>7</v>
      </c>
      <c r="W165" s="10" t="s">
        <v>4</v>
      </c>
      <c r="X165" s="10" t="s">
        <v>5</v>
      </c>
      <c r="Y165" s="10" t="s">
        <v>6</v>
      </c>
      <c r="Z165" s="10" t="s">
        <v>7</v>
      </c>
      <c r="AA165" s="8"/>
      <c r="AB165" s="11" t="s">
        <v>8</v>
      </c>
      <c r="AC165" s="11" t="s">
        <v>9</v>
      </c>
      <c r="AD165" s="11" t="s">
        <v>6</v>
      </c>
      <c r="AE165" s="11" t="s">
        <v>7</v>
      </c>
    </row>
    <row r="166" spans="1:31" ht="30" customHeight="1" x14ac:dyDescent="0.25">
      <c r="A166" s="12" t="s">
        <v>10</v>
      </c>
      <c r="B166" s="13" t="s">
        <v>11</v>
      </c>
      <c r="C166" s="13"/>
      <c r="D166" s="13"/>
      <c r="E166" s="13">
        <f t="shared" ref="E166:E175" si="96">+C166-D166</f>
        <v>0</v>
      </c>
      <c r="F166" s="14" t="e">
        <f t="shared" ref="F166:F205" si="97">+C166/D166</f>
        <v>#DIV/0!</v>
      </c>
      <c r="G166" s="13"/>
      <c r="H166" s="13"/>
      <c r="I166" s="13">
        <f t="shared" ref="I166:I175" si="98">+G166-H166</f>
        <v>0</v>
      </c>
      <c r="J166" s="14" t="e">
        <f t="shared" ref="J166:J205" si="99">+G166/H166</f>
        <v>#DIV/0!</v>
      </c>
      <c r="K166" s="13"/>
      <c r="L166" s="13"/>
      <c r="M166" s="13">
        <f t="shared" ref="M166:M182" si="100">+K166-L166</f>
        <v>0</v>
      </c>
      <c r="N166" s="14" t="e">
        <f t="shared" ref="N166:N205" si="101">+K166/L166</f>
        <v>#DIV/0!</v>
      </c>
      <c r="O166" s="13"/>
      <c r="P166" s="13"/>
      <c r="Q166" s="13">
        <f t="shared" ref="Q166:Q175" si="102">+O166-P166</f>
        <v>0</v>
      </c>
      <c r="R166" s="14" t="e">
        <f t="shared" ref="R166:R205" si="103">+O166/P166</f>
        <v>#DIV/0!</v>
      </c>
      <c r="S166" s="15"/>
      <c r="T166" s="13"/>
      <c r="U166" s="15">
        <f t="shared" ref="U166:U182" si="104">+S166-T166</f>
        <v>0</v>
      </c>
      <c r="V166" s="14" t="e">
        <f>+S166/T166</f>
        <v>#DIV/0!</v>
      </c>
      <c r="W166" s="13"/>
      <c r="X166" s="13"/>
      <c r="Y166" s="13">
        <f t="shared" ref="Y166:Y185" si="105">+W166-X166</f>
        <v>0</v>
      </c>
      <c r="Z166" s="14" t="e">
        <f t="shared" ref="Z166:Z205" si="106">+W166/X166</f>
        <v>#DIV/0!</v>
      </c>
      <c r="AA166" s="16"/>
      <c r="AB166" s="15">
        <f t="shared" ref="AB166:AC176" si="107">+C166+G166+K166+O166+S166+W166</f>
        <v>0</v>
      </c>
      <c r="AC166" s="15">
        <f t="shared" si="107"/>
        <v>0</v>
      </c>
      <c r="AD166" s="15">
        <f>+AB166-AC166</f>
        <v>0</v>
      </c>
      <c r="AE166" s="14" t="e">
        <f t="shared" ref="AE166:AE205" si="108">+AB166/AC166</f>
        <v>#DIV/0!</v>
      </c>
    </row>
    <row r="167" spans="1:31" ht="30" customHeight="1" x14ac:dyDescent="0.25">
      <c r="A167" s="12"/>
      <c r="B167" s="13" t="s">
        <v>12</v>
      </c>
      <c r="C167" s="13"/>
      <c r="D167" s="13"/>
      <c r="E167" s="13">
        <f t="shared" si="96"/>
        <v>0</v>
      </c>
      <c r="F167" s="14" t="e">
        <f t="shared" si="97"/>
        <v>#DIV/0!</v>
      </c>
      <c r="G167" s="13"/>
      <c r="H167" s="13"/>
      <c r="I167" s="13">
        <f t="shared" si="98"/>
        <v>0</v>
      </c>
      <c r="J167" s="14" t="e">
        <f t="shared" si="99"/>
        <v>#DIV/0!</v>
      </c>
      <c r="K167" s="13"/>
      <c r="L167" s="13"/>
      <c r="M167" s="13">
        <f t="shared" si="100"/>
        <v>0</v>
      </c>
      <c r="N167" s="14" t="e">
        <f t="shared" si="101"/>
        <v>#DIV/0!</v>
      </c>
      <c r="O167" s="13"/>
      <c r="P167" s="13"/>
      <c r="Q167" s="13">
        <f t="shared" si="102"/>
        <v>0</v>
      </c>
      <c r="R167" s="14" t="e">
        <f t="shared" si="103"/>
        <v>#DIV/0!</v>
      </c>
      <c r="S167" s="15"/>
      <c r="T167" s="13"/>
      <c r="U167" s="15">
        <f t="shared" si="104"/>
        <v>0</v>
      </c>
      <c r="V167" s="14" t="e">
        <f>+S167/T167</f>
        <v>#DIV/0!</v>
      </c>
      <c r="W167" s="13"/>
      <c r="X167" s="13"/>
      <c r="Y167" s="13">
        <f t="shared" si="105"/>
        <v>0</v>
      </c>
      <c r="Z167" s="14" t="e">
        <f t="shared" si="106"/>
        <v>#DIV/0!</v>
      </c>
      <c r="AA167" s="16"/>
      <c r="AB167" s="15">
        <f t="shared" si="107"/>
        <v>0</v>
      </c>
      <c r="AC167" s="15">
        <f t="shared" si="107"/>
        <v>0</v>
      </c>
      <c r="AD167" s="15">
        <f t="shared" ref="AD167:AD185" si="109">+AB167-AC167</f>
        <v>0</v>
      </c>
      <c r="AE167" s="14" t="e">
        <f t="shared" si="108"/>
        <v>#DIV/0!</v>
      </c>
    </row>
    <row r="168" spans="1:31" ht="30" customHeight="1" x14ac:dyDescent="0.25">
      <c r="A168" s="12"/>
      <c r="B168" s="13" t="s">
        <v>13</v>
      </c>
      <c r="C168" s="13"/>
      <c r="D168" s="13"/>
      <c r="E168" s="13">
        <f t="shared" si="96"/>
        <v>0</v>
      </c>
      <c r="F168" s="14" t="e">
        <f t="shared" si="97"/>
        <v>#DIV/0!</v>
      </c>
      <c r="G168" s="13"/>
      <c r="H168" s="13"/>
      <c r="I168" s="13">
        <f t="shared" si="98"/>
        <v>0</v>
      </c>
      <c r="J168" s="14" t="e">
        <f t="shared" si="99"/>
        <v>#DIV/0!</v>
      </c>
      <c r="K168" s="13"/>
      <c r="L168" s="13"/>
      <c r="M168" s="13">
        <f t="shared" si="100"/>
        <v>0</v>
      </c>
      <c r="N168" s="14" t="e">
        <f t="shared" si="101"/>
        <v>#DIV/0!</v>
      </c>
      <c r="O168" s="13"/>
      <c r="P168" s="13"/>
      <c r="Q168" s="13">
        <f t="shared" si="102"/>
        <v>0</v>
      </c>
      <c r="R168" s="14" t="e">
        <f t="shared" si="103"/>
        <v>#DIV/0!</v>
      </c>
      <c r="S168" s="15"/>
      <c r="T168" s="13"/>
      <c r="U168" s="15">
        <f t="shared" si="104"/>
        <v>0</v>
      </c>
      <c r="V168" s="14">
        <v>0</v>
      </c>
      <c r="W168" s="13"/>
      <c r="X168" s="13"/>
      <c r="Y168" s="13">
        <f t="shared" si="105"/>
        <v>0</v>
      </c>
      <c r="Z168" s="14" t="e">
        <f t="shared" si="106"/>
        <v>#DIV/0!</v>
      </c>
      <c r="AA168" s="16"/>
      <c r="AB168" s="15">
        <f t="shared" si="107"/>
        <v>0</v>
      </c>
      <c r="AC168" s="15">
        <f t="shared" si="107"/>
        <v>0</v>
      </c>
      <c r="AD168" s="15">
        <f t="shared" si="109"/>
        <v>0</v>
      </c>
      <c r="AE168" s="14" t="e">
        <f t="shared" si="108"/>
        <v>#DIV/0!</v>
      </c>
    </row>
    <row r="169" spans="1:31" ht="30" customHeight="1" x14ac:dyDescent="0.25">
      <c r="A169" s="12"/>
      <c r="B169" s="13" t="s">
        <v>14</v>
      </c>
      <c r="C169" s="13"/>
      <c r="D169" s="13"/>
      <c r="E169" s="13">
        <f t="shared" si="96"/>
        <v>0</v>
      </c>
      <c r="F169" s="14" t="e">
        <f t="shared" si="97"/>
        <v>#DIV/0!</v>
      </c>
      <c r="G169" s="13"/>
      <c r="H169" s="13"/>
      <c r="I169" s="13">
        <f t="shared" si="98"/>
        <v>0</v>
      </c>
      <c r="J169" s="14" t="e">
        <f t="shared" si="99"/>
        <v>#DIV/0!</v>
      </c>
      <c r="K169" s="13"/>
      <c r="L169" s="13"/>
      <c r="M169" s="13">
        <f t="shared" si="100"/>
        <v>0</v>
      </c>
      <c r="N169" s="14" t="e">
        <f t="shared" si="101"/>
        <v>#DIV/0!</v>
      </c>
      <c r="O169" s="13"/>
      <c r="P169" s="13"/>
      <c r="Q169" s="13">
        <f t="shared" si="102"/>
        <v>0</v>
      </c>
      <c r="R169" s="14" t="e">
        <f t="shared" si="103"/>
        <v>#DIV/0!</v>
      </c>
      <c r="S169" s="15"/>
      <c r="T169" s="13"/>
      <c r="U169" s="15">
        <f t="shared" si="104"/>
        <v>0</v>
      </c>
      <c r="V169" s="14" t="e">
        <f t="shared" ref="V169:V205" si="110">+S169/T169</f>
        <v>#DIV/0!</v>
      </c>
      <c r="W169" s="13"/>
      <c r="X169" s="13"/>
      <c r="Y169" s="13">
        <f t="shared" si="105"/>
        <v>0</v>
      </c>
      <c r="Z169" s="14" t="e">
        <f t="shared" si="106"/>
        <v>#DIV/0!</v>
      </c>
      <c r="AA169" s="16"/>
      <c r="AB169" s="15">
        <f t="shared" si="107"/>
        <v>0</v>
      </c>
      <c r="AC169" s="15">
        <f t="shared" si="107"/>
        <v>0</v>
      </c>
      <c r="AD169" s="15">
        <f t="shared" si="109"/>
        <v>0</v>
      </c>
      <c r="AE169" s="14" t="e">
        <f t="shared" si="108"/>
        <v>#DIV/0!</v>
      </c>
    </row>
    <row r="170" spans="1:31" ht="30" customHeight="1" x14ac:dyDescent="0.25">
      <c r="A170" s="12"/>
      <c r="B170" s="13" t="s">
        <v>15</v>
      </c>
      <c r="C170" s="13"/>
      <c r="D170" s="13"/>
      <c r="E170" s="13">
        <f t="shared" si="96"/>
        <v>0</v>
      </c>
      <c r="F170" s="14" t="e">
        <f t="shared" si="97"/>
        <v>#DIV/0!</v>
      </c>
      <c r="G170" s="13"/>
      <c r="H170" s="13"/>
      <c r="I170" s="13">
        <f t="shared" si="98"/>
        <v>0</v>
      </c>
      <c r="J170" s="14" t="e">
        <f t="shared" si="99"/>
        <v>#DIV/0!</v>
      </c>
      <c r="K170" s="13"/>
      <c r="L170" s="13"/>
      <c r="M170" s="13">
        <f t="shared" si="100"/>
        <v>0</v>
      </c>
      <c r="N170" s="14" t="e">
        <f t="shared" si="101"/>
        <v>#DIV/0!</v>
      </c>
      <c r="O170" s="13"/>
      <c r="P170" s="13"/>
      <c r="Q170" s="13">
        <f t="shared" si="102"/>
        <v>0</v>
      </c>
      <c r="R170" s="14" t="e">
        <f t="shared" si="103"/>
        <v>#DIV/0!</v>
      </c>
      <c r="S170" s="15"/>
      <c r="T170" s="13"/>
      <c r="U170" s="15">
        <f t="shared" si="104"/>
        <v>0</v>
      </c>
      <c r="V170" s="14" t="e">
        <f t="shared" si="110"/>
        <v>#DIV/0!</v>
      </c>
      <c r="W170" s="13"/>
      <c r="X170" s="13"/>
      <c r="Y170" s="13">
        <f t="shared" si="105"/>
        <v>0</v>
      </c>
      <c r="Z170" s="14" t="e">
        <f t="shared" si="106"/>
        <v>#DIV/0!</v>
      </c>
      <c r="AA170" s="16"/>
      <c r="AB170" s="15">
        <f t="shared" si="107"/>
        <v>0</v>
      </c>
      <c r="AC170" s="15">
        <f t="shared" si="107"/>
        <v>0</v>
      </c>
      <c r="AD170" s="15">
        <f t="shared" si="109"/>
        <v>0</v>
      </c>
      <c r="AE170" s="14" t="e">
        <f t="shared" si="108"/>
        <v>#DIV/0!</v>
      </c>
    </row>
    <row r="171" spans="1:31" ht="30" customHeight="1" x14ac:dyDescent="0.25">
      <c r="A171" s="12"/>
      <c r="B171" s="13" t="s">
        <v>16</v>
      </c>
      <c r="C171" s="13"/>
      <c r="D171" s="13"/>
      <c r="E171" s="13">
        <f t="shared" si="96"/>
        <v>0</v>
      </c>
      <c r="F171" s="14" t="e">
        <f t="shared" si="97"/>
        <v>#DIV/0!</v>
      </c>
      <c r="G171" s="13"/>
      <c r="H171" s="13"/>
      <c r="I171" s="13">
        <f t="shared" si="98"/>
        <v>0</v>
      </c>
      <c r="J171" s="14" t="e">
        <f t="shared" si="99"/>
        <v>#DIV/0!</v>
      </c>
      <c r="K171" s="13"/>
      <c r="L171" s="13"/>
      <c r="M171" s="13">
        <f t="shared" si="100"/>
        <v>0</v>
      </c>
      <c r="N171" s="14" t="e">
        <f t="shared" si="101"/>
        <v>#DIV/0!</v>
      </c>
      <c r="O171" s="13"/>
      <c r="P171" s="13"/>
      <c r="Q171" s="13">
        <f t="shared" si="102"/>
        <v>0</v>
      </c>
      <c r="R171" s="14" t="e">
        <f t="shared" si="103"/>
        <v>#DIV/0!</v>
      </c>
      <c r="S171" s="15"/>
      <c r="T171" s="13"/>
      <c r="U171" s="15">
        <f t="shared" si="104"/>
        <v>0</v>
      </c>
      <c r="V171" s="14" t="e">
        <f t="shared" si="110"/>
        <v>#DIV/0!</v>
      </c>
      <c r="W171" s="13"/>
      <c r="X171" s="13"/>
      <c r="Y171" s="13">
        <f t="shared" si="105"/>
        <v>0</v>
      </c>
      <c r="Z171" s="14" t="e">
        <f t="shared" si="106"/>
        <v>#DIV/0!</v>
      </c>
      <c r="AA171" s="16"/>
      <c r="AB171" s="15">
        <f t="shared" si="107"/>
        <v>0</v>
      </c>
      <c r="AC171" s="15">
        <f t="shared" si="107"/>
        <v>0</v>
      </c>
      <c r="AD171" s="15">
        <f t="shared" si="109"/>
        <v>0</v>
      </c>
      <c r="AE171" s="14" t="e">
        <f t="shared" si="108"/>
        <v>#DIV/0!</v>
      </c>
    </row>
    <row r="172" spans="1:31" ht="30" customHeight="1" x14ac:dyDescent="0.25">
      <c r="A172" s="12"/>
      <c r="B172" s="13" t="s">
        <v>17</v>
      </c>
      <c r="C172" s="13"/>
      <c r="D172" s="13"/>
      <c r="E172" s="13">
        <f t="shared" si="96"/>
        <v>0</v>
      </c>
      <c r="F172" s="14" t="e">
        <f t="shared" si="97"/>
        <v>#DIV/0!</v>
      </c>
      <c r="G172" s="13"/>
      <c r="H172" s="13"/>
      <c r="I172" s="13">
        <f t="shared" si="98"/>
        <v>0</v>
      </c>
      <c r="J172" s="14" t="e">
        <f t="shared" si="99"/>
        <v>#DIV/0!</v>
      </c>
      <c r="K172" s="13"/>
      <c r="L172" s="13"/>
      <c r="M172" s="13">
        <f t="shared" si="100"/>
        <v>0</v>
      </c>
      <c r="N172" s="14" t="e">
        <f t="shared" si="101"/>
        <v>#DIV/0!</v>
      </c>
      <c r="O172" s="13"/>
      <c r="P172" s="15"/>
      <c r="Q172" s="13">
        <f t="shared" si="102"/>
        <v>0</v>
      </c>
      <c r="R172" s="14" t="e">
        <f t="shared" si="103"/>
        <v>#DIV/0!</v>
      </c>
      <c r="S172" s="15"/>
      <c r="T172" s="13"/>
      <c r="U172" s="15">
        <f t="shared" si="104"/>
        <v>0</v>
      </c>
      <c r="V172" s="14" t="e">
        <f t="shared" si="110"/>
        <v>#DIV/0!</v>
      </c>
      <c r="W172" s="13"/>
      <c r="X172" s="13"/>
      <c r="Y172" s="13">
        <f t="shared" si="105"/>
        <v>0</v>
      </c>
      <c r="Z172" s="14" t="e">
        <f t="shared" si="106"/>
        <v>#DIV/0!</v>
      </c>
      <c r="AA172" s="16"/>
      <c r="AB172" s="15">
        <f t="shared" si="107"/>
        <v>0</v>
      </c>
      <c r="AC172" s="15">
        <f t="shared" si="107"/>
        <v>0</v>
      </c>
      <c r="AD172" s="15">
        <f t="shared" si="109"/>
        <v>0</v>
      </c>
      <c r="AE172" s="14" t="e">
        <f t="shared" si="108"/>
        <v>#DIV/0!</v>
      </c>
    </row>
    <row r="173" spans="1:31" ht="30" customHeight="1" x14ac:dyDescent="0.25">
      <c r="A173" s="12"/>
      <c r="B173" s="13" t="s">
        <v>18</v>
      </c>
      <c r="C173" s="13"/>
      <c r="D173" s="13"/>
      <c r="E173" s="13">
        <f t="shared" si="96"/>
        <v>0</v>
      </c>
      <c r="F173" s="14" t="e">
        <f t="shared" si="97"/>
        <v>#DIV/0!</v>
      </c>
      <c r="G173" s="13"/>
      <c r="H173" s="13"/>
      <c r="I173" s="13">
        <f t="shared" si="98"/>
        <v>0</v>
      </c>
      <c r="J173" s="14" t="e">
        <f t="shared" si="99"/>
        <v>#DIV/0!</v>
      </c>
      <c r="K173" s="13"/>
      <c r="L173" s="13"/>
      <c r="M173" s="13">
        <f t="shared" si="100"/>
        <v>0</v>
      </c>
      <c r="N173" s="14" t="e">
        <f t="shared" si="101"/>
        <v>#DIV/0!</v>
      </c>
      <c r="O173" s="13"/>
      <c r="P173" s="13"/>
      <c r="Q173" s="13">
        <f t="shared" si="102"/>
        <v>0</v>
      </c>
      <c r="R173" s="14" t="e">
        <f t="shared" si="103"/>
        <v>#DIV/0!</v>
      </c>
      <c r="S173" s="15"/>
      <c r="T173" s="13"/>
      <c r="U173" s="15">
        <f t="shared" si="104"/>
        <v>0</v>
      </c>
      <c r="V173" s="14" t="e">
        <f t="shared" si="110"/>
        <v>#DIV/0!</v>
      </c>
      <c r="W173" s="13"/>
      <c r="X173" s="13"/>
      <c r="Y173" s="13">
        <f t="shared" si="105"/>
        <v>0</v>
      </c>
      <c r="Z173" s="14" t="e">
        <f t="shared" si="106"/>
        <v>#DIV/0!</v>
      </c>
      <c r="AA173" s="16"/>
      <c r="AB173" s="15">
        <f t="shared" si="107"/>
        <v>0</v>
      </c>
      <c r="AC173" s="15">
        <f t="shared" si="107"/>
        <v>0</v>
      </c>
      <c r="AD173" s="15">
        <f t="shared" si="109"/>
        <v>0</v>
      </c>
      <c r="AE173" s="14" t="e">
        <f t="shared" si="108"/>
        <v>#DIV/0!</v>
      </c>
    </row>
    <row r="174" spans="1:31" ht="30" customHeight="1" x14ac:dyDescent="0.25">
      <c r="A174" s="12"/>
      <c r="B174" s="13" t="s">
        <v>19</v>
      </c>
      <c r="C174" s="13"/>
      <c r="D174" s="13"/>
      <c r="E174" s="13">
        <f t="shared" si="96"/>
        <v>0</v>
      </c>
      <c r="F174" s="14" t="e">
        <f t="shared" si="97"/>
        <v>#DIV/0!</v>
      </c>
      <c r="G174" s="13"/>
      <c r="H174" s="13"/>
      <c r="I174" s="13">
        <f t="shared" si="98"/>
        <v>0</v>
      </c>
      <c r="J174" s="14" t="e">
        <f t="shared" si="99"/>
        <v>#DIV/0!</v>
      </c>
      <c r="K174" s="13"/>
      <c r="L174" s="13"/>
      <c r="M174" s="13">
        <f t="shared" si="100"/>
        <v>0</v>
      </c>
      <c r="N174" s="14" t="e">
        <f t="shared" si="101"/>
        <v>#DIV/0!</v>
      </c>
      <c r="O174" s="13"/>
      <c r="P174" s="13"/>
      <c r="Q174" s="13">
        <f t="shared" si="102"/>
        <v>0</v>
      </c>
      <c r="R174" s="14" t="e">
        <f t="shared" si="103"/>
        <v>#DIV/0!</v>
      </c>
      <c r="S174" s="15"/>
      <c r="T174" s="13"/>
      <c r="U174" s="15">
        <f t="shared" si="104"/>
        <v>0</v>
      </c>
      <c r="V174" s="14" t="e">
        <f t="shared" si="110"/>
        <v>#DIV/0!</v>
      </c>
      <c r="W174" s="13"/>
      <c r="X174" s="13"/>
      <c r="Y174" s="13">
        <f t="shared" si="105"/>
        <v>0</v>
      </c>
      <c r="Z174" s="14" t="e">
        <f t="shared" si="106"/>
        <v>#DIV/0!</v>
      </c>
      <c r="AA174" s="16"/>
      <c r="AB174" s="15">
        <f t="shared" si="107"/>
        <v>0</v>
      </c>
      <c r="AC174" s="15">
        <f t="shared" si="107"/>
        <v>0</v>
      </c>
      <c r="AD174" s="15">
        <f t="shared" si="109"/>
        <v>0</v>
      </c>
      <c r="AE174" s="14" t="e">
        <f t="shared" si="108"/>
        <v>#DIV/0!</v>
      </c>
    </row>
    <row r="175" spans="1:31" ht="30" customHeight="1" x14ac:dyDescent="0.25">
      <c r="A175" s="12"/>
      <c r="B175" s="13" t="s">
        <v>20</v>
      </c>
      <c r="C175" s="13"/>
      <c r="D175" s="13"/>
      <c r="E175" s="13">
        <f t="shared" si="96"/>
        <v>0</v>
      </c>
      <c r="F175" s="14" t="e">
        <f t="shared" si="97"/>
        <v>#DIV/0!</v>
      </c>
      <c r="G175" s="13"/>
      <c r="H175" s="13"/>
      <c r="I175" s="13">
        <f t="shared" si="98"/>
        <v>0</v>
      </c>
      <c r="J175" s="14" t="e">
        <f t="shared" si="99"/>
        <v>#DIV/0!</v>
      </c>
      <c r="K175" s="13"/>
      <c r="L175" s="13"/>
      <c r="M175" s="13">
        <f t="shared" si="100"/>
        <v>0</v>
      </c>
      <c r="N175" s="14" t="e">
        <f t="shared" si="101"/>
        <v>#DIV/0!</v>
      </c>
      <c r="O175" s="13"/>
      <c r="P175" s="13"/>
      <c r="Q175" s="13">
        <f t="shared" si="102"/>
        <v>0</v>
      </c>
      <c r="R175" s="14" t="e">
        <f t="shared" si="103"/>
        <v>#DIV/0!</v>
      </c>
      <c r="S175" s="15"/>
      <c r="T175" s="13"/>
      <c r="U175" s="15">
        <f t="shared" si="104"/>
        <v>0</v>
      </c>
      <c r="V175" s="14" t="e">
        <f t="shared" si="110"/>
        <v>#DIV/0!</v>
      </c>
      <c r="W175" s="13"/>
      <c r="X175" s="13"/>
      <c r="Y175" s="13">
        <f t="shared" si="105"/>
        <v>0</v>
      </c>
      <c r="Z175" s="14" t="e">
        <f t="shared" si="106"/>
        <v>#DIV/0!</v>
      </c>
      <c r="AA175" s="16"/>
      <c r="AB175" s="15">
        <f t="shared" si="107"/>
        <v>0</v>
      </c>
      <c r="AC175" s="15">
        <f t="shared" si="107"/>
        <v>0</v>
      </c>
      <c r="AD175" s="15">
        <f t="shared" si="109"/>
        <v>0</v>
      </c>
      <c r="AE175" s="14" t="e">
        <f t="shared" si="108"/>
        <v>#DIV/0!</v>
      </c>
    </row>
    <row r="176" spans="1:31" ht="30" customHeight="1" x14ac:dyDescent="0.25">
      <c r="A176" s="12"/>
      <c r="B176" s="13" t="s">
        <v>21</v>
      </c>
      <c r="C176" s="13"/>
      <c r="D176" s="13"/>
      <c r="E176" s="13">
        <f>+C176-D176</f>
        <v>0</v>
      </c>
      <c r="F176" s="14" t="e">
        <f t="shared" si="97"/>
        <v>#DIV/0!</v>
      </c>
      <c r="G176" s="13"/>
      <c r="H176" s="13"/>
      <c r="I176" s="13">
        <f>+G176-H176</f>
        <v>0</v>
      </c>
      <c r="J176" s="14" t="e">
        <f t="shared" si="99"/>
        <v>#DIV/0!</v>
      </c>
      <c r="K176" s="13"/>
      <c r="L176" s="13"/>
      <c r="M176" s="13">
        <f t="shared" si="100"/>
        <v>0</v>
      </c>
      <c r="N176" s="14" t="e">
        <f t="shared" si="101"/>
        <v>#DIV/0!</v>
      </c>
      <c r="O176" s="13"/>
      <c r="P176" s="13"/>
      <c r="Q176" s="13">
        <f>+O176-P176</f>
        <v>0</v>
      </c>
      <c r="R176" s="14" t="e">
        <f t="shared" si="103"/>
        <v>#DIV/0!</v>
      </c>
      <c r="S176" s="13"/>
      <c r="T176" s="13"/>
      <c r="U176" s="15">
        <f t="shared" si="104"/>
        <v>0</v>
      </c>
      <c r="V176" s="14" t="e">
        <f t="shared" si="110"/>
        <v>#DIV/0!</v>
      </c>
      <c r="W176" s="13"/>
      <c r="X176" s="13"/>
      <c r="Y176" s="13">
        <f t="shared" si="105"/>
        <v>0</v>
      </c>
      <c r="Z176" s="14" t="e">
        <f t="shared" si="106"/>
        <v>#DIV/0!</v>
      </c>
      <c r="AA176" s="16"/>
      <c r="AB176" s="15">
        <f t="shared" si="107"/>
        <v>0</v>
      </c>
      <c r="AC176" s="15">
        <f t="shared" si="107"/>
        <v>0</v>
      </c>
      <c r="AD176" s="15">
        <f t="shared" si="109"/>
        <v>0</v>
      </c>
      <c r="AE176" s="14" t="e">
        <f t="shared" si="108"/>
        <v>#DIV/0!</v>
      </c>
    </row>
    <row r="177" spans="1:31" ht="30" customHeight="1" x14ac:dyDescent="0.25">
      <c r="A177" s="12"/>
      <c r="B177" s="17" t="s">
        <v>22</v>
      </c>
      <c r="C177" s="17">
        <f>SUM(C166:C176)</f>
        <v>0</v>
      </c>
      <c r="D177" s="17">
        <f>SUM(D166:D176)</f>
        <v>0</v>
      </c>
      <c r="E177" s="17">
        <f>C177-D177</f>
        <v>0</v>
      </c>
      <c r="F177" s="18" t="e">
        <f t="shared" si="97"/>
        <v>#DIV/0!</v>
      </c>
      <c r="G177" s="17">
        <f>SUM(G166:G176)</f>
        <v>0</v>
      </c>
      <c r="H177" s="17">
        <f>SUM(H166:H176)</f>
        <v>0</v>
      </c>
      <c r="I177" s="17">
        <f>G177-H177</f>
        <v>0</v>
      </c>
      <c r="J177" s="18" t="e">
        <f t="shared" si="99"/>
        <v>#DIV/0!</v>
      </c>
      <c r="K177" s="17">
        <f>SUM(K166:K176)</f>
        <v>0</v>
      </c>
      <c r="L177" s="17">
        <f>SUM(L166:L176)</f>
        <v>0</v>
      </c>
      <c r="M177" s="17">
        <f t="shared" si="100"/>
        <v>0</v>
      </c>
      <c r="N177" s="18" t="e">
        <f t="shared" si="101"/>
        <v>#DIV/0!</v>
      </c>
      <c r="O177" s="17">
        <f>SUM(O166:O176)</f>
        <v>0</v>
      </c>
      <c r="P177" s="17">
        <f>SUM(P166:P176)</f>
        <v>0</v>
      </c>
      <c r="Q177" s="17">
        <f>O177-P177</f>
        <v>0</v>
      </c>
      <c r="R177" s="18" t="e">
        <f t="shared" si="103"/>
        <v>#DIV/0!</v>
      </c>
      <c r="S177" s="17">
        <f>SUM(S166:S176)</f>
        <v>0</v>
      </c>
      <c r="T177" s="17">
        <f>SUM(T166:T176)</f>
        <v>0</v>
      </c>
      <c r="U177" s="17">
        <f t="shared" si="104"/>
        <v>0</v>
      </c>
      <c r="V177" s="18" t="e">
        <f t="shared" si="110"/>
        <v>#DIV/0!</v>
      </c>
      <c r="W177" s="17">
        <f>SUM(W166:W176)</f>
        <v>0</v>
      </c>
      <c r="X177" s="17">
        <f>SUM(X166:X176)</f>
        <v>0</v>
      </c>
      <c r="Y177" s="17">
        <f t="shared" si="105"/>
        <v>0</v>
      </c>
      <c r="Z177" s="18" t="e">
        <f t="shared" si="106"/>
        <v>#DIV/0!</v>
      </c>
      <c r="AA177" s="19">
        <f>SUM(AA166:AA176)</f>
        <v>0</v>
      </c>
      <c r="AB177" s="17">
        <f>SUM(AB166:AB176)</f>
        <v>0</v>
      </c>
      <c r="AC177" s="17">
        <f>SUM(AC166:AC176)</f>
        <v>0</v>
      </c>
      <c r="AD177" s="17">
        <f t="shared" si="109"/>
        <v>0</v>
      </c>
      <c r="AE177" s="18" t="e">
        <f t="shared" si="108"/>
        <v>#DIV/0!</v>
      </c>
    </row>
    <row r="178" spans="1:31" ht="30" customHeight="1" x14ac:dyDescent="0.25">
      <c r="A178" s="12"/>
      <c r="B178" s="13" t="s">
        <v>23</v>
      </c>
      <c r="C178" s="13"/>
      <c r="D178" s="13"/>
      <c r="E178" s="13">
        <f t="shared" ref="E178:E184" si="111">+C178-D178</f>
        <v>0</v>
      </c>
      <c r="F178" s="14" t="e">
        <f t="shared" si="97"/>
        <v>#DIV/0!</v>
      </c>
      <c r="G178" s="13"/>
      <c r="H178" s="13"/>
      <c r="I178" s="13">
        <f t="shared" ref="I178:I184" si="112">+G178-H178</f>
        <v>0</v>
      </c>
      <c r="J178" s="14" t="e">
        <f t="shared" si="99"/>
        <v>#DIV/0!</v>
      </c>
      <c r="K178" s="13"/>
      <c r="L178" s="13"/>
      <c r="M178" s="13">
        <f t="shared" si="100"/>
        <v>0</v>
      </c>
      <c r="N178" s="14" t="e">
        <f t="shared" si="101"/>
        <v>#DIV/0!</v>
      </c>
      <c r="O178" s="13"/>
      <c r="P178" s="13"/>
      <c r="Q178" s="13">
        <f t="shared" ref="Q178:Q184" si="113">+O178-P178</f>
        <v>0</v>
      </c>
      <c r="R178" s="14" t="e">
        <f t="shared" si="103"/>
        <v>#DIV/0!</v>
      </c>
      <c r="S178" s="15"/>
      <c r="T178" s="13"/>
      <c r="U178" s="15">
        <f t="shared" si="104"/>
        <v>0</v>
      </c>
      <c r="V178" s="14" t="e">
        <f t="shared" si="110"/>
        <v>#DIV/0!</v>
      </c>
      <c r="W178" s="13"/>
      <c r="X178" s="13"/>
      <c r="Y178" s="13">
        <f t="shared" si="105"/>
        <v>0</v>
      </c>
      <c r="Z178" s="14" t="e">
        <f t="shared" si="106"/>
        <v>#DIV/0!</v>
      </c>
      <c r="AA178" s="16"/>
      <c r="AB178" s="15">
        <f t="shared" ref="AB178:AC184" si="114">+C178+G178+K178+O178+S178+W178</f>
        <v>0</v>
      </c>
      <c r="AC178" s="15">
        <f t="shared" si="114"/>
        <v>0</v>
      </c>
      <c r="AD178" s="15">
        <f t="shared" si="109"/>
        <v>0</v>
      </c>
      <c r="AE178" s="14" t="e">
        <f t="shared" si="108"/>
        <v>#DIV/0!</v>
      </c>
    </row>
    <row r="179" spans="1:31" ht="30" customHeight="1" x14ac:dyDescent="0.25">
      <c r="A179" s="12"/>
      <c r="B179" s="13" t="s">
        <v>24</v>
      </c>
      <c r="C179" s="13"/>
      <c r="D179" s="13"/>
      <c r="E179" s="13">
        <f t="shared" si="111"/>
        <v>0</v>
      </c>
      <c r="F179" s="14" t="e">
        <f t="shared" si="97"/>
        <v>#DIV/0!</v>
      </c>
      <c r="G179" s="13"/>
      <c r="H179" s="15"/>
      <c r="I179" s="13">
        <f t="shared" si="112"/>
        <v>0</v>
      </c>
      <c r="J179" s="14" t="e">
        <f t="shared" si="99"/>
        <v>#DIV/0!</v>
      </c>
      <c r="K179" s="13"/>
      <c r="L179" s="15"/>
      <c r="M179" s="13">
        <f t="shared" si="100"/>
        <v>0</v>
      </c>
      <c r="N179" s="14" t="e">
        <f t="shared" si="101"/>
        <v>#DIV/0!</v>
      </c>
      <c r="O179" s="13"/>
      <c r="P179" s="15"/>
      <c r="Q179" s="13">
        <f t="shared" si="113"/>
        <v>0</v>
      </c>
      <c r="R179" s="14" t="e">
        <f t="shared" si="103"/>
        <v>#DIV/0!</v>
      </c>
      <c r="S179" s="15"/>
      <c r="T179" s="13"/>
      <c r="U179" s="15">
        <f t="shared" si="104"/>
        <v>0</v>
      </c>
      <c r="V179" s="14" t="e">
        <f t="shared" si="110"/>
        <v>#DIV/0!</v>
      </c>
      <c r="W179" s="13"/>
      <c r="X179" s="13"/>
      <c r="Y179" s="13">
        <f t="shared" si="105"/>
        <v>0</v>
      </c>
      <c r="Z179" s="14" t="e">
        <f t="shared" si="106"/>
        <v>#DIV/0!</v>
      </c>
      <c r="AA179" s="16"/>
      <c r="AB179" s="15">
        <f t="shared" si="114"/>
        <v>0</v>
      </c>
      <c r="AC179" s="15">
        <f t="shared" si="114"/>
        <v>0</v>
      </c>
      <c r="AD179" s="15">
        <f t="shared" si="109"/>
        <v>0</v>
      </c>
      <c r="AE179" s="14" t="e">
        <f t="shared" si="108"/>
        <v>#DIV/0!</v>
      </c>
    </row>
    <row r="180" spans="1:31" ht="30" customHeight="1" x14ac:dyDescent="0.25">
      <c r="A180" s="12"/>
      <c r="B180" s="13" t="s">
        <v>25</v>
      </c>
      <c r="C180" s="13"/>
      <c r="D180" s="13"/>
      <c r="E180" s="13">
        <f t="shared" si="111"/>
        <v>0</v>
      </c>
      <c r="F180" s="14" t="e">
        <f t="shared" si="97"/>
        <v>#DIV/0!</v>
      </c>
      <c r="G180" s="13"/>
      <c r="H180" s="13"/>
      <c r="I180" s="13">
        <f t="shared" si="112"/>
        <v>0</v>
      </c>
      <c r="J180" s="14" t="e">
        <f t="shared" si="99"/>
        <v>#DIV/0!</v>
      </c>
      <c r="K180" s="13"/>
      <c r="L180" s="13"/>
      <c r="M180" s="13">
        <f t="shared" si="100"/>
        <v>0</v>
      </c>
      <c r="N180" s="14" t="e">
        <f t="shared" si="101"/>
        <v>#DIV/0!</v>
      </c>
      <c r="O180" s="13"/>
      <c r="P180" s="13"/>
      <c r="Q180" s="13">
        <f t="shared" si="113"/>
        <v>0</v>
      </c>
      <c r="R180" s="14" t="e">
        <f t="shared" si="103"/>
        <v>#DIV/0!</v>
      </c>
      <c r="S180" s="15"/>
      <c r="T180" s="13"/>
      <c r="U180" s="15">
        <f t="shared" si="104"/>
        <v>0</v>
      </c>
      <c r="V180" s="14" t="e">
        <f t="shared" si="110"/>
        <v>#DIV/0!</v>
      </c>
      <c r="W180" s="13"/>
      <c r="X180" s="13"/>
      <c r="Y180" s="13">
        <f t="shared" si="105"/>
        <v>0</v>
      </c>
      <c r="Z180" s="14" t="e">
        <f t="shared" si="106"/>
        <v>#DIV/0!</v>
      </c>
      <c r="AA180" s="16"/>
      <c r="AB180" s="15">
        <f t="shared" si="114"/>
        <v>0</v>
      </c>
      <c r="AC180" s="15">
        <f t="shared" si="114"/>
        <v>0</v>
      </c>
      <c r="AD180" s="15">
        <f t="shared" si="109"/>
        <v>0</v>
      </c>
      <c r="AE180" s="14" t="e">
        <f t="shared" si="108"/>
        <v>#DIV/0!</v>
      </c>
    </row>
    <row r="181" spans="1:31" ht="30" customHeight="1" x14ac:dyDescent="0.25">
      <c r="A181" s="12"/>
      <c r="B181" s="13" t="s">
        <v>26</v>
      </c>
      <c r="C181" s="13"/>
      <c r="D181" s="13"/>
      <c r="E181" s="13">
        <f t="shared" si="111"/>
        <v>0</v>
      </c>
      <c r="F181" s="14" t="e">
        <f t="shared" si="97"/>
        <v>#DIV/0!</v>
      </c>
      <c r="G181" s="13"/>
      <c r="H181" s="13"/>
      <c r="I181" s="13">
        <f t="shared" si="112"/>
        <v>0</v>
      </c>
      <c r="J181" s="14" t="e">
        <f t="shared" si="99"/>
        <v>#DIV/0!</v>
      </c>
      <c r="K181" s="13"/>
      <c r="L181" s="13"/>
      <c r="M181" s="13">
        <f t="shared" si="100"/>
        <v>0</v>
      </c>
      <c r="N181" s="14" t="e">
        <f t="shared" si="101"/>
        <v>#DIV/0!</v>
      </c>
      <c r="O181" s="13"/>
      <c r="P181" s="13"/>
      <c r="Q181" s="13">
        <f t="shared" si="113"/>
        <v>0</v>
      </c>
      <c r="R181" s="14" t="e">
        <f t="shared" si="103"/>
        <v>#DIV/0!</v>
      </c>
      <c r="S181" s="15"/>
      <c r="T181" s="13"/>
      <c r="U181" s="15">
        <f t="shared" si="104"/>
        <v>0</v>
      </c>
      <c r="V181" s="14" t="e">
        <f t="shared" si="110"/>
        <v>#DIV/0!</v>
      </c>
      <c r="W181" s="13"/>
      <c r="X181" s="13"/>
      <c r="Y181" s="13">
        <f t="shared" si="105"/>
        <v>0</v>
      </c>
      <c r="Z181" s="14" t="e">
        <f t="shared" si="106"/>
        <v>#DIV/0!</v>
      </c>
      <c r="AA181" s="16"/>
      <c r="AB181" s="15">
        <f t="shared" si="114"/>
        <v>0</v>
      </c>
      <c r="AC181" s="15">
        <f t="shared" si="114"/>
        <v>0</v>
      </c>
      <c r="AD181" s="15">
        <f t="shared" si="109"/>
        <v>0</v>
      </c>
      <c r="AE181" s="14" t="e">
        <f t="shared" si="108"/>
        <v>#DIV/0!</v>
      </c>
    </row>
    <row r="182" spans="1:31" ht="30" customHeight="1" x14ac:dyDescent="0.25">
      <c r="A182" s="12"/>
      <c r="B182" s="13" t="s">
        <v>27</v>
      </c>
      <c r="C182" s="13"/>
      <c r="D182" s="13"/>
      <c r="E182" s="13">
        <f t="shared" si="111"/>
        <v>0</v>
      </c>
      <c r="F182" s="14" t="e">
        <f t="shared" si="97"/>
        <v>#DIV/0!</v>
      </c>
      <c r="G182" s="13"/>
      <c r="H182" s="13"/>
      <c r="I182" s="13">
        <f t="shared" si="112"/>
        <v>0</v>
      </c>
      <c r="J182" s="14" t="e">
        <f t="shared" si="99"/>
        <v>#DIV/0!</v>
      </c>
      <c r="K182" s="13"/>
      <c r="L182" s="13"/>
      <c r="M182" s="13">
        <f t="shared" si="100"/>
        <v>0</v>
      </c>
      <c r="N182" s="14" t="e">
        <f t="shared" si="101"/>
        <v>#DIV/0!</v>
      </c>
      <c r="O182" s="13"/>
      <c r="P182" s="13"/>
      <c r="Q182" s="13">
        <f t="shared" si="113"/>
        <v>0</v>
      </c>
      <c r="R182" s="14" t="e">
        <f t="shared" si="103"/>
        <v>#DIV/0!</v>
      </c>
      <c r="S182" s="15"/>
      <c r="T182" s="13"/>
      <c r="U182" s="15">
        <f t="shared" si="104"/>
        <v>0</v>
      </c>
      <c r="V182" s="14" t="e">
        <f t="shared" si="110"/>
        <v>#DIV/0!</v>
      </c>
      <c r="W182" s="13"/>
      <c r="X182" s="13"/>
      <c r="Y182" s="13">
        <f t="shared" si="105"/>
        <v>0</v>
      </c>
      <c r="Z182" s="14" t="e">
        <f t="shared" si="106"/>
        <v>#DIV/0!</v>
      </c>
      <c r="AA182" s="16"/>
      <c r="AB182" s="15">
        <f t="shared" si="114"/>
        <v>0</v>
      </c>
      <c r="AC182" s="15">
        <f t="shared" si="114"/>
        <v>0</v>
      </c>
      <c r="AD182" s="15">
        <f t="shared" si="109"/>
        <v>0</v>
      </c>
      <c r="AE182" s="14" t="e">
        <f t="shared" si="108"/>
        <v>#DIV/0!</v>
      </c>
    </row>
    <row r="183" spans="1:31" ht="30" customHeight="1" x14ac:dyDescent="0.25">
      <c r="A183" s="12"/>
      <c r="B183" s="13" t="s">
        <v>28</v>
      </c>
      <c r="C183" s="13"/>
      <c r="D183" s="13"/>
      <c r="E183" s="13">
        <f t="shared" si="111"/>
        <v>0</v>
      </c>
      <c r="F183" s="14" t="e">
        <f t="shared" si="97"/>
        <v>#DIV/0!</v>
      </c>
      <c r="G183" s="13"/>
      <c r="H183" s="13"/>
      <c r="I183" s="13">
        <f t="shared" si="112"/>
        <v>0</v>
      </c>
      <c r="J183" s="14" t="e">
        <f t="shared" si="99"/>
        <v>#DIV/0!</v>
      </c>
      <c r="K183" s="13"/>
      <c r="L183" s="13"/>
      <c r="M183" s="13">
        <f>+K183-L183</f>
        <v>0</v>
      </c>
      <c r="N183" s="14" t="e">
        <f t="shared" si="101"/>
        <v>#DIV/0!</v>
      </c>
      <c r="O183" s="13"/>
      <c r="P183" s="13"/>
      <c r="Q183" s="13">
        <f t="shared" si="113"/>
        <v>0</v>
      </c>
      <c r="R183" s="14" t="e">
        <f t="shared" si="103"/>
        <v>#DIV/0!</v>
      </c>
      <c r="S183" s="15"/>
      <c r="T183" s="13"/>
      <c r="U183" s="15">
        <f>+S183-T183</f>
        <v>0</v>
      </c>
      <c r="V183" s="14" t="e">
        <f t="shared" si="110"/>
        <v>#DIV/0!</v>
      </c>
      <c r="W183" s="13"/>
      <c r="X183" s="13"/>
      <c r="Y183" s="13">
        <f t="shared" si="105"/>
        <v>0</v>
      </c>
      <c r="Z183" s="14" t="e">
        <f t="shared" si="106"/>
        <v>#DIV/0!</v>
      </c>
      <c r="AA183" s="16"/>
      <c r="AB183" s="15">
        <f t="shared" si="114"/>
        <v>0</v>
      </c>
      <c r="AC183" s="15">
        <f t="shared" si="114"/>
        <v>0</v>
      </c>
      <c r="AD183" s="15">
        <f t="shared" si="109"/>
        <v>0</v>
      </c>
      <c r="AE183" s="14" t="e">
        <f t="shared" si="108"/>
        <v>#DIV/0!</v>
      </c>
    </row>
    <row r="184" spans="1:31" ht="30" customHeight="1" x14ac:dyDescent="0.25">
      <c r="A184" s="12"/>
      <c r="B184" s="13" t="s">
        <v>29</v>
      </c>
      <c r="C184" s="13"/>
      <c r="D184" s="13"/>
      <c r="E184" s="13">
        <f t="shared" si="111"/>
        <v>0</v>
      </c>
      <c r="F184" s="14" t="e">
        <f t="shared" si="97"/>
        <v>#DIV/0!</v>
      </c>
      <c r="G184" s="13"/>
      <c r="H184" s="13"/>
      <c r="I184" s="13">
        <f t="shared" si="112"/>
        <v>0</v>
      </c>
      <c r="J184" s="14" t="e">
        <f t="shared" si="99"/>
        <v>#DIV/0!</v>
      </c>
      <c r="K184" s="13"/>
      <c r="L184" s="13"/>
      <c r="M184" s="13">
        <f>+K184-L184</f>
        <v>0</v>
      </c>
      <c r="N184" s="14" t="e">
        <f t="shared" si="101"/>
        <v>#DIV/0!</v>
      </c>
      <c r="O184" s="13"/>
      <c r="P184" s="13"/>
      <c r="Q184" s="13">
        <f t="shared" si="113"/>
        <v>0</v>
      </c>
      <c r="R184" s="14" t="e">
        <f t="shared" si="103"/>
        <v>#DIV/0!</v>
      </c>
      <c r="S184" s="13"/>
      <c r="T184" s="13"/>
      <c r="U184" s="15">
        <f>+S184-T184</f>
        <v>0</v>
      </c>
      <c r="V184" s="14" t="e">
        <f t="shared" si="110"/>
        <v>#DIV/0!</v>
      </c>
      <c r="W184" s="13"/>
      <c r="X184" s="13"/>
      <c r="Y184" s="13">
        <f t="shared" si="105"/>
        <v>0</v>
      </c>
      <c r="Z184" s="14" t="e">
        <f t="shared" si="106"/>
        <v>#DIV/0!</v>
      </c>
      <c r="AA184" s="16"/>
      <c r="AB184" s="15">
        <f t="shared" si="114"/>
        <v>0</v>
      </c>
      <c r="AC184" s="15">
        <f t="shared" si="114"/>
        <v>0</v>
      </c>
      <c r="AD184" s="15">
        <f t="shared" si="109"/>
        <v>0</v>
      </c>
      <c r="AE184" s="14" t="e">
        <f t="shared" si="108"/>
        <v>#DIV/0!</v>
      </c>
    </row>
    <row r="185" spans="1:31" ht="30" customHeight="1" x14ac:dyDescent="0.25">
      <c r="A185" s="12"/>
      <c r="B185" s="17" t="s">
        <v>22</v>
      </c>
      <c r="C185" s="17">
        <f>SUM(C178:C184)</f>
        <v>0</v>
      </c>
      <c r="D185" s="17">
        <f>SUM(D178:D184)</f>
        <v>0</v>
      </c>
      <c r="E185" s="17">
        <f>C185-D185</f>
        <v>0</v>
      </c>
      <c r="F185" s="18" t="e">
        <f t="shared" si="97"/>
        <v>#DIV/0!</v>
      </c>
      <c r="G185" s="17">
        <f>SUM(G178:G184)</f>
        <v>0</v>
      </c>
      <c r="H185" s="17">
        <f>SUM(H178:H184)</f>
        <v>0</v>
      </c>
      <c r="I185" s="17">
        <f>G185-H185</f>
        <v>0</v>
      </c>
      <c r="J185" s="18" t="e">
        <f t="shared" si="99"/>
        <v>#DIV/0!</v>
      </c>
      <c r="K185" s="17">
        <f>SUM(K178:K184)</f>
        <v>0</v>
      </c>
      <c r="L185" s="17">
        <f>SUM(L178:L184)</f>
        <v>0</v>
      </c>
      <c r="M185" s="17">
        <f>+K185-L185</f>
        <v>0</v>
      </c>
      <c r="N185" s="18" t="e">
        <f t="shared" si="101"/>
        <v>#DIV/0!</v>
      </c>
      <c r="O185" s="17">
        <f>SUM(O178:O184)</f>
        <v>0</v>
      </c>
      <c r="P185" s="17">
        <f>SUM(P178:P184)</f>
        <v>0</v>
      </c>
      <c r="Q185" s="17">
        <f>O185-P185</f>
        <v>0</v>
      </c>
      <c r="R185" s="18" t="e">
        <f t="shared" si="103"/>
        <v>#DIV/0!</v>
      </c>
      <c r="S185" s="17">
        <f>SUM(S178:S184)</f>
        <v>0</v>
      </c>
      <c r="T185" s="17">
        <f>SUM(T178:T184)</f>
        <v>0</v>
      </c>
      <c r="U185" s="17">
        <f>+S185-T185</f>
        <v>0</v>
      </c>
      <c r="V185" s="18" t="e">
        <f t="shared" si="110"/>
        <v>#DIV/0!</v>
      </c>
      <c r="W185" s="17">
        <f>SUM(W178:W184)</f>
        <v>0</v>
      </c>
      <c r="X185" s="17">
        <f>SUM(X178:X184)</f>
        <v>0</v>
      </c>
      <c r="Y185" s="17">
        <f t="shared" si="105"/>
        <v>0</v>
      </c>
      <c r="Z185" s="18" t="e">
        <f t="shared" si="106"/>
        <v>#DIV/0!</v>
      </c>
      <c r="AA185" s="19">
        <f>SUM(AA178:AA184)</f>
        <v>0</v>
      </c>
      <c r="AB185" s="17">
        <f>SUM(AB178:AB184)</f>
        <v>0</v>
      </c>
      <c r="AC185" s="17">
        <f>SUM(AC178:AC184)</f>
        <v>0</v>
      </c>
      <c r="AD185" s="17">
        <f t="shared" si="109"/>
        <v>0</v>
      </c>
      <c r="AE185" s="18" t="e">
        <f t="shared" si="108"/>
        <v>#DIV/0!</v>
      </c>
    </row>
    <row r="186" spans="1:31" ht="30" customHeight="1" x14ac:dyDescent="0.25">
      <c r="A186" s="20" t="s">
        <v>30</v>
      </c>
      <c r="B186" s="20"/>
      <c r="C186" s="19">
        <f>SUM(C177,C185)</f>
        <v>0</v>
      </c>
      <c r="D186" s="19">
        <f>SUM(D177,D185)</f>
        <v>0</v>
      </c>
      <c r="E186" s="19">
        <f>C186-D186</f>
        <v>0</v>
      </c>
      <c r="F186" s="21" t="e">
        <f t="shared" si="97"/>
        <v>#DIV/0!</v>
      </c>
      <c r="G186" s="19">
        <f>SUM(G177,G185)</f>
        <v>0</v>
      </c>
      <c r="H186" s="19">
        <f>SUM(H177,H185)</f>
        <v>0</v>
      </c>
      <c r="I186" s="19">
        <f>G186-H186</f>
        <v>0</v>
      </c>
      <c r="J186" s="21" t="e">
        <f t="shared" si="99"/>
        <v>#DIV/0!</v>
      </c>
      <c r="K186" s="19">
        <f>SUM(K177,K185)</f>
        <v>0</v>
      </c>
      <c r="L186" s="19">
        <f>SUM(L177,L185)</f>
        <v>0</v>
      </c>
      <c r="M186" s="19">
        <f>K186-L186</f>
        <v>0</v>
      </c>
      <c r="N186" s="21" t="e">
        <f t="shared" si="101"/>
        <v>#DIV/0!</v>
      </c>
      <c r="O186" s="19">
        <f>SUM(O177,O185)</f>
        <v>0</v>
      </c>
      <c r="P186" s="19">
        <f>SUM(P177,P185)</f>
        <v>0</v>
      </c>
      <c r="Q186" s="19">
        <f>O186-P186</f>
        <v>0</v>
      </c>
      <c r="R186" s="21" t="e">
        <f t="shared" si="103"/>
        <v>#DIV/0!</v>
      </c>
      <c r="S186" s="19">
        <f>SUM(S177,S185)</f>
        <v>0</v>
      </c>
      <c r="T186" s="19">
        <f>SUM(T177,T185)</f>
        <v>0</v>
      </c>
      <c r="U186" s="19">
        <f>S186-T186</f>
        <v>0</v>
      </c>
      <c r="V186" s="21" t="e">
        <f t="shared" si="110"/>
        <v>#DIV/0!</v>
      </c>
      <c r="W186" s="19">
        <f>SUM(W177,W185)</f>
        <v>0</v>
      </c>
      <c r="X186" s="19">
        <f>SUM(X177,X185)</f>
        <v>0</v>
      </c>
      <c r="Y186" s="19">
        <f>W186-X186</f>
        <v>0</v>
      </c>
      <c r="Z186" s="21" t="e">
        <f t="shared" si="106"/>
        <v>#DIV/0!</v>
      </c>
      <c r="AA186" s="19">
        <f>SUM(AA177,AA185)</f>
        <v>0</v>
      </c>
      <c r="AB186" s="19">
        <f>SUM(AB177,AB185)</f>
        <v>0</v>
      </c>
      <c r="AC186" s="19">
        <f>SUM(AC177,AC185)</f>
        <v>0</v>
      </c>
      <c r="AD186" s="19">
        <f>AB186-AC186</f>
        <v>0</v>
      </c>
      <c r="AE186" s="21" t="e">
        <f t="shared" si="108"/>
        <v>#DIV/0!</v>
      </c>
    </row>
    <row r="187" spans="1:31" ht="30" customHeight="1" x14ac:dyDescent="0.25">
      <c r="A187" s="12" t="s">
        <v>31</v>
      </c>
      <c r="B187" s="13" t="s">
        <v>32</v>
      </c>
      <c r="C187" s="13"/>
      <c r="D187" s="13"/>
      <c r="E187" s="13">
        <f>+C187-D187</f>
        <v>0</v>
      </c>
      <c r="F187" s="14" t="e">
        <f t="shared" si="97"/>
        <v>#DIV/0!</v>
      </c>
      <c r="G187" s="13"/>
      <c r="H187" s="13"/>
      <c r="I187" s="13">
        <f t="shared" ref="I187:I196" si="115">+G187-H187</f>
        <v>0</v>
      </c>
      <c r="J187" s="14" t="e">
        <f t="shared" si="99"/>
        <v>#DIV/0!</v>
      </c>
      <c r="K187" s="13"/>
      <c r="L187" s="13"/>
      <c r="M187" s="13">
        <f t="shared" ref="M187:M199" si="116">+K187-L187</f>
        <v>0</v>
      </c>
      <c r="N187" s="14" t="e">
        <f t="shared" si="101"/>
        <v>#DIV/0!</v>
      </c>
      <c r="O187" s="13"/>
      <c r="P187" s="13"/>
      <c r="Q187" s="13">
        <f t="shared" ref="Q187:Q196" si="117">+O187-P187</f>
        <v>0</v>
      </c>
      <c r="R187" s="14" t="e">
        <f t="shared" si="103"/>
        <v>#DIV/0!</v>
      </c>
      <c r="S187" s="15"/>
      <c r="T187" s="13"/>
      <c r="U187" s="15">
        <f t="shared" ref="U187:U199" si="118">+S187-T187</f>
        <v>0</v>
      </c>
      <c r="V187" s="14" t="e">
        <f t="shared" si="110"/>
        <v>#DIV/0!</v>
      </c>
      <c r="W187" s="13"/>
      <c r="X187" s="13"/>
      <c r="Y187" s="13">
        <f t="shared" ref="Y187:Y196" si="119">+W187-X187</f>
        <v>0</v>
      </c>
      <c r="Z187" s="14" t="e">
        <f t="shared" si="106"/>
        <v>#DIV/0!</v>
      </c>
      <c r="AA187" s="16"/>
      <c r="AB187" s="15">
        <f t="shared" ref="AB187:AC196" si="120">+C187+G187+K187+O187+S187+W187</f>
        <v>0</v>
      </c>
      <c r="AC187" s="15">
        <f t="shared" si="120"/>
        <v>0</v>
      </c>
      <c r="AD187" s="15">
        <f>+AB187-AC187</f>
        <v>0</v>
      </c>
      <c r="AE187" s="14" t="e">
        <f t="shared" si="108"/>
        <v>#DIV/0!</v>
      </c>
    </row>
    <row r="188" spans="1:31" ht="30" customHeight="1" x14ac:dyDescent="0.25">
      <c r="A188" s="12"/>
      <c r="B188" s="13" t="s">
        <v>33</v>
      </c>
      <c r="C188" s="13"/>
      <c r="D188" s="13"/>
      <c r="E188" s="13">
        <f>+C188-D188</f>
        <v>0</v>
      </c>
      <c r="F188" s="14" t="e">
        <f t="shared" si="97"/>
        <v>#DIV/0!</v>
      </c>
      <c r="G188" s="13"/>
      <c r="H188" s="13"/>
      <c r="I188" s="13">
        <f t="shared" si="115"/>
        <v>0</v>
      </c>
      <c r="J188" s="14" t="e">
        <f t="shared" si="99"/>
        <v>#DIV/0!</v>
      </c>
      <c r="K188" s="13"/>
      <c r="L188" s="13"/>
      <c r="M188" s="13">
        <f t="shared" si="116"/>
        <v>0</v>
      </c>
      <c r="N188" s="14" t="e">
        <f t="shared" si="101"/>
        <v>#DIV/0!</v>
      </c>
      <c r="O188" s="13"/>
      <c r="P188" s="13"/>
      <c r="Q188" s="13">
        <f t="shared" si="117"/>
        <v>0</v>
      </c>
      <c r="R188" s="14" t="e">
        <f t="shared" si="103"/>
        <v>#DIV/0!</v>
      </c>
      <c r="S188" s="15"/>
      <c r="T188" s="13"/>
      <c r="U188" s="15">
        <f t="shared" si="118"/>
        <v>0</v>
      </c>
      <c r="V188" s="14" t="e">
        <f t="shared" si="110"/>
        <v>#DIV/0!</v>
      </c>
      <c r="W188" s="13"/>
      <c r="X188" s="13"/>
      <c r="Y188" s="13">
        <f t="shared" si="119"/>
        <v>0</v>
      </c>
      <c r="Z188" s="14" t="e">
        <f t="shared" si="106"/>
        <v>#DIV/0!</v>
      </c>
      <c r="AA188" s="16"/>
      <c r="AB188" s="15">
        <f t="shared" si="120"/>
        <v>0</v>
      </c>
      <c r="AC188" s="15">
        <f t="shared" si="120"/>
        <v>0</v>
      </c>
      <c r="AD188" s="15">
        <f>+AB188-AC188</f>
        <v>0</v>
      </c>
      <c r="AE188" s="14" t="e">
        <f t="shared" si="108"/>
        <v>#DIV/0!</v>
      </c>
    </row>
    <row r="189" spans="1:31" ht="30" customHeight="1" x14ac:dyDescent="0.25">
      <c r="A189" s="12"/>
      <c r="B189" s="13" t="s">
        <v>34</v>
      </c>
      <c r="C189" s="13"/>
      <c r="D189" s="13"/>
      <c r="E189" s="13">
        <f t="shared" ref="E189:E196" si="121">+C189-D189</f>
        <v>0</v>
      </c>
      <c r="F189" s="14" t="e">
        <f t="shared" si="97"/>
        <v>#DIV/0!</v>
      </c>
      <c r="G189" s="13"/>
      <c r="H189" s="13"/>
      <c r="I189" s="13">
        <f t="shared" si="115"/>
        <v>0</v>
      </c>
      <c r="J189" s="14" t="e">
        <f t="shared" si="99"/>
        <v>#DIV/0!</v>
      </c>
      <c r="K189" s="13"/>
      <c r="L189" s="13"/>
      <c r="M189" s="13">
        <f t="shared" si="116"/>
        <v>0</v>
      </c>
      <c r="N189" s="14" t="e">
        <f t="shared" si="101"/>
        <v>#DIV/0!</v>
      </c>
      <c r="O189" s="13"/>
      <c r="P189" s="13"/>
      <c r="Q189" s="13">
        <f t="shared" si="117"/>
        <v>0</v>
      </c>
      <c r="R189" s="14" t="e">
        <f t="shared" si="103"/>
        <v>#DIV/0!</v>
      </c>
      <c r="S189" s="15"/>
      <c r="T189" s="13"/>
      <c r="U189" s="15">
        <f t="shared" si="118"/>
        <v>0</v>
      </c>
      <c r="V189" s="14" t="e">
        <f t="shared" si="110"/>
        <v>#DIV/0!</v>
      </c>
      <c r="W189" s="13"/>
      <c r="X189" s="13"/>
      <c r="Y189" s="13">
        <f t="shared" si="119"/>
        <v>0</v>
      </c>
      <c r="Z189" s="14" t="e">
        <f t="shared" si="106"/>
        <v>#DIV/0!</v>
      </c>
      <c r="AA189" s="16"/>
      <c r="AB189" s="15">
        <f t="shared" si="120"/>
        <v>0</v>
      </c>
      <c r="AC189" s="15">
        <f t="shared" si="120"/>
        <v>0</v>
      </c>
      <c r="AD189" s="15">
        <f>+AB189-AC189</f>
        <v>0</v>
      </c>
      <c r="AE189" s="14" t="e">
        <f t="shared" si="108"/>
        <v>#DIV/0!</v>
      </c>
    </row>
    <row r="190" spans="1:31" ht="30" customHeight="1" x14ac:dyDescent="0.25">
      <c r="A190" s="12"/>
      <c r="B190" s="13" t="s">
        <v>35</v>
      </c>
      <c r="C190" s="13"/>
      <c r="D190" s="13"/>
      <c r="E190" s="13">
        <f t="shared" si="121"/>
        <v>0</v>
      </c>
      <c r="F190" s="14" t="e">
        <f t="shared" si="97"/>
        <v>#DIV/0!</v>
      </c>
      <c r="G190" s="13"/>
      <c r="H190" s="13"/>
      <c r="I190" s="13">
        <f t="shared" si="115"/>
        <v>0</v>
      </c>
      <c r="J190" s="14" t="e">
        <f t="shared" si="99"/>
        <v>#DIV/0!</v>
      </c>
      <c r="K190" s="13"/>
      <c r="L190" s="13"/>
      <c r="M190" s="13">
        <f t="shared" si="116"/>
        <v>0</v>
      </c>
      <c r="N190" s="14" t="e">
        <f t="shared" si="101"/>
        <v>#DIV/0!</v>
      </c>
      <c r="O190" s="13"/>
      <c r="P190" s="13"/>
      <c r="Q190" s="13">
        <f t="shared" si="117"/>
        <v>0</v>
      </c>
      <c r="R190" s="14" t="e">
        <f t="shared" si="103"/>
        <v>#DIV/0!</v>
      </c>
      <c r="S190" s="15"/>
      <c r="T190" s="13"/>
      <c r="U190" s="15">
        <f t="shared" si="118"/>
        <v>0</v>
      </c>
      <c r="V190" s="14" t="e">
        <f t="shared" si="110"/>
        <v>#DIV/0!</v>
      </c>
      <c r="W190" s="13"/>
      <c r="X190" s="13"/>
      <c r="Y190" s="13">
        <f t="shared" si="119"/>
        <v>0</v>
      </c>
      <c r="Z190" s="14" t="e">
        <f t="shared" si="106"/>
        <v>#DIV/0!</v>
      </c>
      <c r="AA190" s="16"/>
      <c r="AB190" s="15">
        <f t="shared" si="120"/>
        <v>0</v>
      </c>
      <c r="AC190" s="15">
        <f t="shared" si="120"/>
        <v>0</v>
      </c>
      <c r="AD190" s="15">
        <f>+AB190-AC190</f>
        <v>0</v>
      </c>
      <c r="AE190" s="14" t="e">
        <f t="shared" si="108"/>
        <v>#DIV/0!</v>
      </c>
    </row>
    <row r="191" spans="1:31" ht="30" customHeight="1" x14ac:dyDescent="0.25">
      <c r="A191" s="12"/>
      <c r="B191" s="13" t="s">
        <v>36</v>
      </c>
      <c r="C191" s="13"/>
      <c r="D191" s="13"/>
      <c r="E191" s="13">
        <f t="shared" si="121"/>
        <v>0</v>
      </c>
      <c r="F191" s="14" t="e">
        <f t="shared" si="97"/>
        <v>#DIV/0!</v>
      </c>
      <c r="G191" s="13"/>
      <c r="H191" s="15"/>
      <c r="I191" s="13">
        <f t="shared" si="115"/>
        <v>0</v>
      </c>
      <c r="J191" s="14" t="e">
        <f t="shared" si="99"/>
        <v>#DIV/0!</v>
      </c>
      <c r="K191" s="13"/>
      <c r="L191" s="13"/>
      <c r="M191" s="13">
        <f t="shared" si="116"/>
        <v>0</v>
      </c>
      <c r="N191" s="14" t="e">
        <f t="shared" si="101"/>
        <v>#DIV/0!</v>
      </c>
      <c r="O191" s="13"/>
      <c r="P191" s="13"/>
      <c r="Q191" s="13">
        <f t="shared" si="117"/>
        <v>0</v>
      </c>
      <c r="R191" s="14" t="e">
        <f t="shared" si="103"/>
        <v>#DIV/0!</v>
      </c>
      <c r="S191" s="15"/>
      <c r="T191" s="13"/>
      <c r="U191" s="15">
        <f t="shared" si="118"/>
        <v>0</v>
      </c>
      <c r="V191" s="14" t="e">
        <f t="shared" si="110"/>
        <v>#DIV/0!</v>
      </c>
      <c r="W191" s="13"/>
      <c r="X191" s="13"/>
      <c r="Y191" s="13">
        <f t="shared" si="119"/>
        <v>0</v>
      </c>
      <c r="Z191" s="14" t="e">
        <f t="shared" si="106"/>
        <v>#DIV/0!</v>
      </c>
      <c r="AA191" s="16"/>
      <c r="AB191" s="15">
        <f t="shared" si="120"/>
        <v>0</v>
      </c>
      <c r="AC191" s="15">
        <f t="shared" si="120"/>
        <v>0</v>
      </c>
      <c r="AD191" s="15">
        <f>+AB191-AC191</f>
        <v>0</v>
      </c>
      <c r="AE191" s="14" t="e">
        <f t="shared" si="108"/>
        <v>#DIV/0!</v>
      </c>
    </row>
    <row r="192" spans="1:31" ht="30" customHeight="1" x14ac:dyDescent="0.25">
      <c r="A192" s="12"/>
      <c r="B192" s="13" t="s">
        <v>37</v>
      </c>
      <c r="C192" s="13"/>
      <c r="D192" s="13"/>
      <c r="E192" s="13">
        <f t="shared" si="121"/>
        <v>0</v>
      </c>
      <c r="F192" s="14" t="e">
        <f t="shared" si="97"/>
        <v>#DIV/0!</v>
      </c>
      <c r="G192" s="13"/>
      <c r="H192" s="13"/>
      <c r="I192" s="13">
        <f t="shared" si="115"/>
        <v>0</v>
      </c>
      <c r="J192" s="14" t="e">
        <f t="shared" si="99"/>
        <v>#DIV/0!</v>
      </c>
      <c r="K192" s="13"/>
      <c r="L192" s="13"/>
      <c r="M192" s="13">
        <f t="shared" si="116"/>
        <v>0</v>
      </c>
      <c r="N192" s="14" t="e">
        <f t="shared" si="101"/>
        <v>#DIV/0!</v>
      </c>
      <c r="O192" s="13"/>
      <c r="P192" s="15"/>
      <c r="Q192" s="13">
        <f t="shared" si="117"/>
        <v>0</v>
      </c>
      <c r="R192" s="14" t="e">
        <f t="shared" si="103"/>
        <v>#DIV/0!</v>
      </c>
      <c r="S192" s="15"/>
      <c r="T192" s="13"/>
      <c r="U192" s="15">
        <f t="shared" si="118"/>
        <v>0</v>
      </c>
      <c r="V192" s="14" t="e">
        <f t="shared" si="110"/>
        <v>#DIV/0!</v>
      </c>
      <c r="W192" s="13"/>
      <c r="X192" s="13"/>
      <c r="Y192" s="13">
        <f t="shared" si="119"/>
        <v>0</v>
      </c>
      <c r="Z192" s="14" t="e">
        <f t="shared" si="106"/>
        <v>#DIV/0!</v>
      </c>
      <c r="AA192" s="16"/>
      <c r="AB192" s="15">
        <f t="shared" si="120"/>
        <v>0</v>
      </c>
      <c r="AC192" s="15">
        <f t="shared" si="120"/>
        <v>0</v>
      </c>
      <c r="AD192" s="15">
        <f t="shared" ref="AD192:AD199" si="122">+AB192-AC192</f>
        <v>0</v>
      </c>
      <c r="AE192" s="14" t="e">
        <f t="shared" si="108"/>
        <v>#DIV/0!</v>
      </c>
    </row>
    <row r="193" spans="1:31" ht="30" customHeight="1" x14ac:dyDescent="0.25">
      <c r="A193" s="12"/>
      <c r="B193" s="13" t="s">
        <v>38</v>
      </c>
      <c r="C193" s="13"/>
      <c r="D193" s="13"/>
      <c r="E193" s="13">
        <f t="shared" si="121"/>
        <v>0</v>
      </c>
      <c r="F193" s="14" t="e">
        <f t="shared" si="97"/>
        <v>#DIV/0!</v>
      </c>
      <c r="G193" s="13"/>
      <c r="H193" s="13"/>
      <c r="I193" s="13">
        <f t="shared" si="115"/>
        <v>0</v>
      </c>
      <c r="J193" s="14" t="e">
        <f t="shared" si="99"/>
        <v>#DIV/0!</v>
      </c>
      <c r="K193" s="13"/>
      <c r="L193" s="13"/>
      <c r="M193" s="13">
        <f t="shared" si="116"/>
        <v>0</v>
      </c>
      <c r="N193" s="14" t="e">
        <f t="shared" si="101"/>
        <v>#DIV/0!</v>
      </c>
      <c r="O193" s="13"/>
      <c r="P193" s="13"/>
      <c r="Q193" s="13">
        <f t="shared" si="117"/>
        <v>0</v>
      </c>
      <c r="R193" s="14" t="e">
        <f t="shared" si="103"/>
        <v>#DIV/0!</v>
      </c>
      <c r="S193" s="15"/>
      <c r="T193" s="13"/>
      <c r="U193" s="15">
        <f t="shared" si="118"/>
        <v>0</v>
      </c>
      <c r="V193" s="14" t="e">
        <f t="shared" si="110"/>
        <v>#DIV/0!</v>
      </c>
      <c r="W193" s="13"/>
      <c r="X193" s="13"/>
      <c r="Y193" s="13">
        <f t="shared" si="119"/>
        <v>0</v>
      </c>
      <c r="Z193" s="14" t="e">
        <f t="shared" si="106"/>
        <v>#DIV/0!</v>
      </c>
      <c r="AA193" s="16"/>
      <c r="AB193" s="15">
        <f t="shared" si="120"/>
        <v>0</v>
      </c>
      <c r="AC193" s="15">
        <f t="shared" si="120"/>
        <v>0</v>
      </c>
      <c r="AD193" s="15">
        <f t="shared" si="122"/>
        <v>0</v>
      </c>
      <c r="AE193" s="14" t="e">
        <f t="shared" si="108"/>
        <v>#DIV/0!</v>
      </c>
    </row>
    <row r="194" spans="1:31" ht="30" customHeight="1" x14ac:dyDescent="0.25">
      <c r="A194" s="12"/>
      <c r="B194" s="13" t="s">
        <v>39</v>
      </c>
      <c r="C194" s="13"/>
      <c r="D194" s="13"/>
      <c r="E194" s="13">
        <f t="shared" si="121"/>
        <v>0</v>
      </c>
      <c r="F194" s="14" t="e">
        <f t="shared" si="97"/>
        <v>#DIV/0!</v>
      </c>
      <c r="G194" s="13"/>
      <c r="H194" s="15"/>
      <c r="I194" s="13">
        <f t="shared" si="115"/>
        <v>0</v>
      </c>
      <c r="J194" s="14" t="e">
        <f t="shared" si="99"/>
        <v>#DIV/0!</v>
      </c>
      <c r="K194" s="13"/>
      <c r="L194" s="13"/>
      <c r="M194" s="13">
        <f t="shared" si="116"/>
        <v>0</v>
      </c>
      <c r="N194" s="14" t="e">
        <f t="shared" si="101"/>
        <v>#DIV/0!</v>
      </c>
      <c r="O194" s="13"/>
      <c r="P194" s="13"/>
      <c r="Q194" s="13">
        <f t="shared" si="117"/>
        <v>0</v>
      </c>
      <c r="R194" s="14" t="e">
        <f t="shared" si="103"/>
        <v>#DIV/0!</v>
      </c>
      <c r="S194" s="15"/>
      <c r="T194" s="13"/>
      <c r="U194" s="15">
        <f t="shared" si="118"/>
        <v>0</v>
      </c>
      <c r="V194" s="14" t="e">
        <f t="shared" si="110"/>
        <v>#DIV/0!</v>
      </c>
      <c r="W194" s="13"/>
      <c r="X194" s="13"/>
      <c r="Y194" s="13">
        <f t="shared" si="119"/>
        <v>0</v>
      </c>
      <c r="Z194" s="14" t="e">
        <f t="shared" si="106"/>
        <v>#DIV/0!</v>
      </c>
      <c r="AA194" s="16"/>
      <c r="AB194" s="15">
        <f t="shared" si="120"/>
        <v>0</v>
      </c>
      <c r="AC194" s="15">
        <f t="shared" si="120"/>
        <v>0</v>
      </c>
      <c r="AD194" s="15">
        <f t="shared" si="122"/>
        <v>0</v>
      </c>
      <c r="AE194" s="14" t="e">
        <f t="shared" si="108"/>
        <v>#DIV/0!</v>
      </c>
    </row>
    <row r="195" spans="1:31" ht="30" customHeight="1" x14ac:dyDescent="0.25">
      <c r="A195" s="12"/>
      <c r="B195" s="13" t="s">
        <v>40</v>
      </c>
      <c r="C195" s="13"/>
      <c r="D195" s="13"/>
      <c r="E195" s="13">
        <f t="shared" si="121"/>
        <v>0</v>
      </c>
      <c r="F195" s="14" t="e">
        <f t="shared" si="97"/>
        <v>#DIV/0!</v>
      </c>
      <c r="G195" s="13"/>
      <c r="H195" s="13"/>
      <c r="I195" s="13">
        <f t="shared" si="115"/>
        <v>0</v>
      </c>
      <c r="J195" s="14" t="e">
        <f t="shared" si="99"/>
        <v>#DIV/0!</v>
      </c>
      <c r="K195" s="13"/>
      <c r="L195" s="13"/>
      <c r="M195" s="13">
        <f t="shared" si="116"/>
        <v>0</v>
      </c>
      <c r="N195" s="14" t="e">
        <f t="shared" si="101"/>
        <v>#DIV/0!</v>
      </c>
      <c r="O195" s="13"/>
      <c r="P195" s="13"/>
      <c r="Q195" s="13">
        <f t="shared" si="117"/>
        <v>0</v>
      </c>
      <c r="R195" s="14" t="e">
        <f t="shared" si="103"/>
        <v>#DIV/0!</v>
      </c>
      <c r="S195" s="15"/>
      <c r="T195" s="13"/>
      <c r="U195" s="15">
        <f t="shared" si="118"/>
        <v>0</v>
      </c>
      <c r="V195" s="14" t="e">
        <f t="shared" si="110"/>
        <v>#DIV/0!</v>
      </c>
      <c r="W195" s="13"/>
      <c r="X195" s="13"/>
      <c r="Y195" s="13">
        <f t="shared" si="119"/>
        <v>0</v>
      </c>
      <c r="Z195" s="14" t="e">
        <f t="shared" si="106"/>
        <v>#DIV/0!</v>
      </c>
      <c r="AA195" s="16"/>
      <c r="AB195" s="15">
        <f t="shared" si="120"/>
        <v>0</v>
      </c>
      <c r="AC195" s="15">
        <f t="shared" si="120"/>
        <v>0</v>
      </c>
      <c r="AD195" s="15">
        <f t="shared" si="122"/>
        <v>0</v>
      </c>
      <c r="AE195" s="14" t="e">
        <f t="shared" si="108"/>
        <v>#DIV/0!</v>
      </c>
    </row>
    <row r="196" spans="1:31" ht="30" customHeight="1" x14ac:dyDescent="0.25">
      <c r="A196" s="12"/>
      <c r="B196" s="13" t="s">
        <v>41</v>
      </c>
      <c r="C196" s="13"/>
      <c r="D196" s="13"/>
      <c r="E196" s="13">
        <f t="shared" si="121"/>
        <v>0</v>
      </c>
      <c r="F196" s="14" t="e">
        <f t="shared" si="97"/>
        <v>#DIV/0!</v>
      </c>
      <c r="G196" s="13"/>
      <c r="H196" s="13"/>
      <c r="I196" s="13">
        <f t="shared" si="115"/>
        <v>0</v>
      </c>
      <c r="J196" s="14" t="e">
        <f t="shared" si="99"/>
        <v>#DIV/0!</v>
      </c>
      <c r="K196" s="13"/>
      <c r="L196" s="13"/>
      <c r="M196" s="13">
        <f t="shared" si="116"/>
        <v>0</v>
      </c>
      <c r="N196" s="14" t="e">
        <f t="shared" si="101"/>
        <v>#DIV/0!</v>
      </c>
      <c r="O196" s="13"/>
      <c r="P196" s="13"/>
      <c r="Q196" s="13">
        <f t="shared" si="117"/>
        <v>0</v>
      </c>
      <c r="R196" s="14" t="e">
        <f t="shared" si="103"/>
        <v>#DIV/0!</v>
      </c>
      <c r="S196" s="15"/>
      <c r="T196" s="13"/>
      <c r="U196" s="15">
        <f t="shared" si="118"/>
        <v>0</v>
      </c>
      <c r="V196" s="14" t="e">
        <f t="shared" si="110"/>
        <v>#DIV/0!</v>
      </c>
      <c r="W196" s="13"/>
      <c r="X196" s="13"/>
      <c r="Y196" s="13">
        <f t="shared" si="119"/>
        <v>0</v>
      </c>
      <c r="Z196" s="14" t="e">
        <f t="shared" si="106"/>
        <v>#DIV/0!</v>
      </c>
      <c r="AA196" s="16"/>
      <c r="AB196" s="15">
        <f t="shared" si="120"/>
        <v>0</v>
      </c>
      <c r="AC196" s="15">
        <f t="shared" si="120"/>
        <v>0</v>
      </c>
      <c r="AD196" s="15">
        <f t="shared" si="122"/>
        <v>0</v>
      </c>
      <c r="AE196" s="14" t="e">
        <f t="shared" si="108"/>
        <v>#DIV/0!</v>
      </c>
    </row>
    <row r="197" spans="1:31" ht="30" customHeight="1" x14ac:dyDescent="0.25">
      <c r="A197" s="12"/>
      <c r="B197" s="17" t="s">
        <v>22</v>
      </c>
      <c r="C197" s="17">
        <f>SUM(C187:C196)</f>
        <v>0</v>
      </c>
      <c r="D197" s="17">
        <f>SUM(D187:D196)</f>
        <v>0</v>
      </c>
      <c r="E197" s="17">
        <f>C197-D197</f>
        <v>0</v>
      </c>
      <c r="F197" s="18" t="e">
        <f t="shared" si="97"/>
        <v>#DIV/0!</v>
      </c>
      <c r="G197" s="17">
        <f>SUM(G187:G196)</f>
        <v>0</v>
      </c>
      <c r="H197" s="17">
        <f>SUM(H187:H196)</f>
        <v>0</v>
      </c>
      <c r="I197" s="17">
        <f>G197-H197</f>
        <v>0</v>
      </c>
      <c r="J197" s="18" t="e">
        <f t="shared" si="99"/>
        <v>#DIV/0!</v>
      </c>
      <c r="K197" s="17">
        <f>SUM(K187:K196)</f>
        <v>0</v>
      </c>
      <c r="L197" s="17">
        <f>SUM(L187:L196)</f>
        <v>0</v>
      </c>
      <c r="M197" s="17">
        <f t="shared" si="116"/>
        <v>0</v>
      </c>
      <c r="N197" s="18" t="e">
        <f t="shared" si="101"/>
        <v>#DIV/0!</v>
      </c>
      <c r="O197" s="17">
        <f>SUM(O187:O196)</f>
        <v>0</v>
      </c>
      <c r="P197" s="17">
        <f>SUM(P187:P196)</f>
        <v>0</v>
      </c>
      <c r="Q197" s="17">
        <f>O197-P197</f>
        <v>0</v>
      </c>
      <c r="R197" s="18" t="e">
        <f t="shared" si="103"/>
        <v>#DIV/0!</v>
      </c>
      <c r="S197" s="17">
        <f>SUM(S187:S196)</f>
        <v>0</v>
      </c>
      <c r="T197" s="17">
        <f>SUM(T187:T196)</f>
        <v>0</v>
      </c>
      <c r="U197" s="17">
        <f t="shared" si="118"/>
        <v>0</v>
      </c>
      <c r="V197" s="18" t="e">
        <f t="shared" si="110"/>
        <v>#DIV/0!</v>
      </c>
      <c r="W197" s="17">
        <f>SUM(W187:W196)</f>
        <v>0</v>
      </c>
      <c r="X197" s="17">
        <f>SUM(X187:X196)</f>
        <v>0</v>
      </c>
      <c r="Y197" s="17">
        <f>W197-X197</f>
        <v>0</v>
      </c>
      <c r="Z197" s="18" t="e">
        <f t="shared" si="106"/>
        <v>#DIV/0!</v>
      </c>
      <c r="AA197" s="19">
        <f>SUM(AA187:AA196)</f>
        <v>0</v>
      </c>
      <c r="AB197" s="17">
        <f>SUM(AB187:AB196)</f>
        <v>0</v>
      </c>
      <c r="AC197" s="17">
        <f>SUM(AC187:AC196)</f>
        <v>0</v>
      </c>
      <c r="AD197" s="17">
        <f t="shared" si="122"/>
        <v>0</v>
      </c>
      <c r="AE197" s="18" t="e">
        <f t="shared" si="108"/>
        <v>#DIV/0!</v>
      </c>
    </row>
    <row r="198" spans="1:31" ht="30" customHeight="1" x14ac:dyDescent="0.25">
      <c r="A198" s="12"/>
      <c r="B198" s="13" t="s">
        <v>42</v>
      </c>
      <c r="C198" s="13"/>
      <c r="D198" s="13"/>
      <c r="E198" s="13">
        <f t="shared" ref="E198:E203" si="123">+C198-D198</f>
        <v>0</v>
      </c>
      <c r="F198" s="14" t="e">
        <f t="shared" si="97"/>
        <v>#DIV/0!</v>
      </c>
      <c r="G198" s="13"/>
      <c r="H198" s="13"/>
      <c r="I198" s="13">
        <f t="shared" ref="I198:I203" si="124">+G198-H198</f>
        <v>0</v>
      </c>
      <c r="J198" s="14" t="e">
        <f t="shared" si="99"/>
        <v>#DIV/0!</v>
      </c>
      <c r="K198" s="13"/>
      <c r="L198" s="13"/>
      <c r="M198" s="13">
        <f t="shared" si="116"/>
        <v>0</v>
      </c>
      <c r="N198" s="14" t="e">
        <f t="shared" si="101"/>
        <v>#DIV/0!</v>
      </c>
      <c r="O198" s="13"/>
      <c r="P198" s="13"/>
      <c r="Q198" s="13">
        <f t="shared" ref="Q198:Q203" si="125">+O198-P198</f>
        <v>0</v>
      </c>
      <c r="R198" s="14" t="e">
        <f t="shared" si="103"/>
        <v>#DIV/0!</v>
      </c>
      <c r="S198" s="15"/>
      <c r="T198" s="13"/>
      <c r="U198" s="15">
        <f t="shared" si="118"/>
        <v>0</v>
      </c>
      <c r="V198" s="14" t="e">
        <f t="shared" si="110"/>
        <v>#DIV/0!</v>
      </c>
      <c r="W198" s="13"/>
      <c r="X198" s="13"/>
      <c r="Y198" s="13">
        <f t="shared" ref="Y198:Y203" si="126">+W198-X198</f>
        <v>0</v>
      </c>
      <c r="Z198" s="14" t="e">
        <f t="shared" si="106"/>
        <v>#DIV/0!</v>
      </c>
      <c r="AA198" s="16"/>
      <c r="AB198" s="15">
        <f t="shared" ref="AB198:AC203" si="127">+C198+G198+K198+O198+S198+W198</f>
        <v>0</v>
      </c>
      <c r="AC198" s="15">
        <f t="shared" si="127"/>
        <v>0</v>
      </c>
      <c r="AD198" s="15">
        <f t="shared" si="122"/>
        <v>0</v>
      </c>
      <c r="AE198" s="14" t="e">
        <f t="shared" si="108"/>
        <v>#DIV/0!</v>
      </c>
    </row>
    <row r="199" spans="1:31" ht="30" customHeight="1" x14ac:dyDescent="0.25">
      <c r="A199" s="12"/>
      <c r="B199" s="13" t="s">
        <v>43</v>
      </c>
      <c r="C199" s="13"/>
      <c r="D199" s="15"/>
      <c r="E199" s="13">
        <f t="shared" si="123"/>
        <v>0</v>
      </c>
      <c r="F199" s="14" t="e">
        <f t="shared" si="97"/>
        <v>#DIV/0!</v>
      </c>
      <c r="G199" s="13"/>
      <c r="H199" s="13"/>
      <c r="I199" s="13">
        <f t="shared" si="124"/>
        <v>0</v>
      </c>
      <c r="J199" s="14" t="e">
        <f t="shared" si="99"/>
        <v>#DIV/0!</v>
      </c>
      <c r="K199" s="13"/>
      <c r="L199" s="13"/>
      <c r="M199" s="13">
        <f t="shared" si="116"/>
        <v>0</v>
      </c>
      <c r="N199" s="14" t="e">
        <f t="shared" si="101"/>
        <v>#DIV/0!</v>
      </c>
      <c r="O199" s="13"/>
      <c r="P199" s="15"/>
      <c r="Q199" s="13">
        <f t="shared" si="125"/>
        <v>0</v>
      </c>
      <c r="R199" s="14" t="e">
        <f t="shared" si="103"/>
        <v>#DIV/0!</v>
      </c>
      <c r="S199" s="15"/>
      <c r="T199" s="13"/>
      <c r="U199" s="15">
        <f t="shared" si="118"/>
        <v>0</v>
      </c>
      <c r="V199" s="14" t="e">
        <f t="shared" si="110"/>
        <v>#DIV/0!</v>
      </c>
      <c r="W199" s="13"/>
      <c r="X199" s="13"/>
      <c r="Y199" s="13">
        <f t="shared" si="126"/>
        <v>0</v>
      </c>
      <c r="Z199" s="14" t="e">
        <f t="shared" si="106"/>
        <v>#DIV/0!</v>
      </c>
      <c r="AA199" s="16"/>
      <c r="AB199" s="15">
        <f t="shared" si="127"/>
        <v>0</v>
      </c>
      <c r="AC199" s="15">
        <f t="shared" si="127"/>
        <v>0</v>
      </c>
      <c r="AD199" s="15">
        <f t="shared" si="122"/>
        <v>0</v>
      </c>
      <c r="AE199" s="14" t="e">
        <f t="shared" si="108"/>
        <v>#DIV/0!</v>
      </c>
    </row>
    <row r="200" spans="1:31" ht="30" customHeight="1" x14ac:dyDescent="0.25">
      <c r="A200" s="12"/>
      <c r="B200" s="13" t="s">
        <v>44</v>
      </c>
      <c r="C200" s="13"/>
      <c r="D200" s="13"/>
      <c r="E200" s="13">
        <f t="shared" si="123"/>
        <v>0</v>
      </c>
      <c r="F200" s="14" t="e">
        <f t="shared" si="97"/>
        <v>#DIV/0!</v>
      </c>
      <c r="G200" s="13"/>
      <c r="H200" s="13"/>
      <c r="I200" s="13">
        <f t="shared" si="124"/>
        <v>0</v>
      </c>
      <c r="J200" s="14" t="e">
        <f t="shared" si="99"/>
        <v>#DIV/0!</v>
      </c>
      <c r="K200" s="13"/>
      <c r="L200" s="13"/>
      <c r="M200" s="13">
        <f>+K200-L200</f>
        <v>0</v>
      </c>
      <c r="N200" s="14" t="e">
        <f t="shared" si="101"/>
        <v>#DIV/0!</v>
      </c>
      <c r="O200" s="13"/>
      <c r="P200" s="13"/>
      <c r="Q200" s="13">
        <f t="shared" si="125"/>
        <v>0</v>
      </c>
      <c r="R200" s="14" t="e">
        <f t="shared" si="103"/>
        <v>#DIV/0!</v>
      </c>
      <c r="S200" s="15"/>
      <c r="T200" s="13"/>
      <c r="U200" s="15">
        <f>+S200-T200</f>
        <v>0</v>
      </c>
      <c r="V200" s="14" t="e">
        <f t="shared" si="110"/>
        <v>#DIV/0!</v>
      </c>
      <c r="W200" s="13"/>
      <c r="X200" s="13"/>
      <c r="Y200" s="13">
        <f t="shared" si="126"/>
        <v>0</v>
      </c>
      <c r="Z200" s="14" t="e">
        <f t="shared" si="106"/>
        <v>#DIV/0!</v>
      </c>
      <c r="AA200" s="16"/>
      <c r="AB200" s="15">
        <f t="shared" si="127"/>
        <v>0</v>
      </c>
      <c r="AC200" s="15">
        <f t="shared" si="127"/>
        <v>0</v>
      </c>
      <c r="AD200" s="15">
        <f>+AB200-AC200</f>
        <v>0</v>
      </c>
      <c r="AE200" s="14" t="e">
        <f t="shared" si="108"/>
        <v>#DIV/0!</v>
      </c>
    </row>
    <row r="201" spans="1:31" ht="30" customHeight="1" x14ac:dyDescent="0.25">
      <c r="A201" s="12"/>
      <c r="B201" s="13" t="s">
        <v>45</v>
      </c>
      <c r="C201" s="13"/>
      <c r="D201" s="13"/>
      <c r="E201" s="13">
        <f t="shared" si="123"/>
        <v>0</v>
      </c>
      <c r="F201" s="14" t="e">
        <f t="shared" si="97"/>
        <v>#DIV/0!</v>
      </c>
      <c r="G201" s="13"/>
      <c r="H201" s="13"/>
      <c r="I201" s="13">
        <f t="shared" si="124"/>
        <v>0</v>
      </c>
      <c r="J201" s="14" t="e">
        <f t="shared" si="99"/>
        <v>#DIV/0!</v>
      </c>
      <c r="K201" s="13"/>
      <c r="L201" s="13"/>
      <c r="M201" s="13">
        <f>+K201-L201</f>
        <v>0</v>
      </c>
      <c r="N201" s="14" t="e">
        <f t="shared" si="101"/>
        <v>#DIV/0!</v>
      </c>
      <c r="O201" s="13"/>
      <c r="P201" s="13"/>
      <c r="Q201" s="13">
        <f t="shared" si="125"/>
        <v>0</v>
      </c>
      <c r="R201" s="14" t="e">
        <f t="shared" si="103"/>
        <v>#DIV/0!</v>
      </c>
      <c r="S201" s="15"/>
      <c r="T201" s="13"/>
      <c r="U201" s="15">
        <f>+S201-T201</f>
        <v>0</v>
      </c>
      <c r="V201" s="14" t="e">
        <f t="shared" si="110"/>
        <v>#DIV/0!</v>
      </c>
      <c r="W201" s="13"/>
      <c r="X201" s="13"/>
      <c r="Y201" s="13">
        <f t="shared" si="126"/>
        <v>0</v>
      </c>
      <c r="Z201" s="14" t="e">
        <f t="shared" si="106"/>
        <v>#DIV/0!</v>
      </c>
      <c r="AA201" s="16"/>
      <c r="AB201" s="15">
        <f t="shared" si="127"/>
        <v>0</v>
      </c>
      <c r="AC201" s="15">
        <f t="shared" si="127"/>
        <v>0</v>
      </c>
      <c r="AD201" s="15">
        <f>+AB201-AC201</f>
        <v>0</v>
      </c>
      <c r="AE201" s="14" t="e">
        <f t="shared" si="108"/>
        <v>#DIV/0!</v>
      </c>
    </row>
    <row r="202" spans="1:31" ht="30" customHeight="1" x14ac:dyDescent="0.25">
      <c r="A202" s="12"/>
      <c r="B202" s="13" t="s">
        <v>46</v>
      </c>
      <c r="C202" s="13"/>
      <c r="D202" s="13"/>
      <c r="E202" s="13">
        <f t="shared" si="123"/>
        <v>0</v>
      </c>
      <c r="F202" s="14" t="e">
        <f t="shared" si="97"/>
        <v>#DIV/0!</v>
      </c>
      <c r="G202" s="13"/>
      <c r="H202" s="13"/>
      <c r="I202" s="13">
        <f t="shared" si="124"/>
        <v>0</v>
      </c>
      <c r="J202" s="14" t="e">
        <f t="shared" si="99"/>
        <v>#DIV/0!</v>
      </c>
      <c r="K202" s="13"/>
      <c r="L202" s="13"/>
      <c r="M202" s="13">
        <f>+K202-L202</f>
        <v>0</v>
      </c>
      <c r="N202" s="14" t="e">
        <f t="shared" si="101"/>
        <v>#DIV/0!</v>
      </c>
      <c r="O202" s="13"/>
      <c r="P202" s="13"/>
      <c r="Q202" s="13">
        <f t="shared" si="125"/>
        <v>0</v>
      </c>
      <c r="R202" s="14" t="e">
        <f t="shared" si="103"/>
        <v>#DIV/0!</v>
      </c>
      <c r="S202" s="15"/>
      <c r="T202" s="13"/>
      <c r="U202" s="15">
        <f>+S202-T202</f>
        <v>0</v>
      </c>
      <c r="V202" s="14" t="e">
        <f t="shared" si="110"/>
        <v>#DIV/0!</v>
      </c>
      <c r="W202" s="13"/>
      <c r="X202" s="13"/>
      <c r="Y202" s="13">
        <f t="shared" si="126"/>
        <v>0</v>
      </c>
      <c r="Z202" s="14" t="e">
        <f t="shared" si="106"/>
        <v>#DIV/0!</v>
      </c>
      <c r="AA202" s="16"/>
      <c r="AB202" s="15">
        <f t="shared" si="127"/>
        <v>0</v>
      </c>
      <c r="AC202" s="15">
        <f t="shared" si="127"/>
        <v>0</v>
      </c>
      <c r="AD202" s="15">
        <f>+AB202-AC202</f>
        <v>0</v>
      </c>
      <c r="AE202" s="14" t="e">
        <f t="shared" si="108"/>
        <v>#DIV/0!</v>
      </c>
    </row>
    <row r="203" spans="1:31" ht="30" customHeight="1" x14ac:dyDescent="0.25">
      <c r="A203" s="12"/>
      <c r="B203" s="13" t="s">
        <v>47</v>
      </c>
      <c r="C203" s="13"/>
      <c r="D203" s="13"/>
      <c r="E203" s="13">
        <f t="shared" si="123"/>
        <v>0</v>
      </c>
      <c r="F203" s="14" t="e">
        <f t="shared" si="97"/>
        <v>#DIV/0!</v>
      </c>
      <c r="G203" s="13"/>
      <c r="H203" s="13"/>
      <c r="I203" s="13">
        <f t="shared" si="124"/>
        <v>0</v>
      </c>
      <c r="J203" s="14" t="e">
        <f t="shared" si="99"/>
        <v>#DIV/0!</v>
      </c>
      <c r="K203" s="13"/>
      <c r="L203" s="13"/>
      <c r="M203" s="13">
        <f>+K203-L203</f>
        <v>0</v>
      </c>
      <c r="N203" s="14" t="e">
        <f t="shared" si="101"/>
        <v>#DIV/0!</v>
      </c>
      <c r="O203" s="13"/>
      <c r="P203" s="13"/>
      <c r="Q203" s="13">
        <f t="shared" si="125"/>
        <v>0</v>
      </c>
      <c r="R203" s="14" t="e">
        <f t="shared" si="103"/>
        <v>#DIV/0!</v>
      </c>
      <c r="S203" s="15"/>
      <c r="T203" s="13"/>
      <c r="U203" s="15">
        <f>+S203-T203</f>
        <v>0</v>
      </c>
      <c r="V203" s="14" t="e">
        <f t="shared" si="110"/>
        <v>#DIV/0!</v>
      </c>
      <c r="W203" s="13"/>
      <c r="X203" s="13"/>
      <c r="Y203" s="13">
        <f t="shared" si="126"/>
        <v>0</v>
      </c>
      <c r="Z203" s="14" t="e">
        <f t="shared" si="106"/>
        <v>#DIV/0!</v>
      </c>
      <c r="AA203" s="16"/>
      <c r="AB203" s="15">
        <f t="shared" si="127"/>
        <v>0</v>
      </c>
      <c r="AC203" s="15">
        <f t="shared" si="127"/>
        <v>0</v>
      </c>
      <c r="AD203" s="15">
        <f>+AB203-AC203</f>
        <v>0</v>
      </c>
      <c r="AE203" s="14" t="e">
        <f t="shared" si="108"/>
        <v>#DIV/0!</v>
      </c>
    </row>
    <row r="204" spans="1:31" ht="30" customHeight="1" x14ac:dyDescent="0.25">
      <c r="A204" s="12"/>
      <c r="B204" s="17" t="s">
        <v>22</v>
      </c>
      <c r="C204" s="17">
        <f>SUM(C198:C203)</f>
        <v>0</v>
      </c>
      <c r="D204" s="17">
        <f>SUM(D198:D203)</f>
        <v>0</v>
      </c>
      <c r="E204" s="17">
        <f>C204-D204</f>
        <v>0</v>
      </c>
      <c r="F204" s="18" t="e">
        <f t="shared" si="97"/>
        <v>#DIV/0!</v>
      </c>
      <c r="G204" s="17">
        <f>SUM(G198:G203)</f>
        <v>0</v>
      </c>
      <c r="H204" s="17">
        <f>SUM(H198:H203)</f>
        <v>0</v>
      </c>
      <c r="I204" s="17">
        <f>G204-H204</f>
        <v>0</v>
      </c>
      <c r="J204" s="18" t="e">
        <f t="shared" si="99"/>
        <v>#DIV/0!</v>
      </c>
      <c r="K204" s="17">
        <f>SUM(K198:K203)</f>
        <v>0</v>
      </c>
      <c r="L204" s="17">
        <f>SUM(L198:L203)</f>
        <v>0</v>
      </c>
      <c r="M204" s="17">
        <f>+K204-L204</f>
        <v>0</v>
      </c>
      <c r="N204" s="18" t="e">
        <f t="shared" si="101"/>
        <v>#DIV/0!</v>
      </c>
      <c r="O204" s="17">
        <f>SUM(O198:O203)</f>
        <v>0</v>
      </c>
      <c r="P204" s="17">
        <f>SUM(P198:P203)</f>
        <v>0</v>
      </c>
      <c r="Q204" s="17">
        <f>O204-P204</f>
        <v>0</v>
      </c>
      <c r="R204" s="18" t="e">
        <f t="shared" si="103"/>
        <v>#DIV/0!</v>
      </c>
      <c r="S204" s="17">
        <f>SUM(S198:S203)</f>
        <v>0</v>
      </c>
      <c r="T204" s="17">
        <f>SUM(T198:T203)</f>
        <v>0</v>
      </c>
      <c r="U204" s="17">
        <f>+S204-T204</f>
        <v>0</v>
      </c>
      <c r="V204" s="18" t="e">
        <f t="shared" si="110"/>
        <v>#DIV/0!</v>
      </c>
      <c r="W204" s="17">
        <f>SUM(W198:W203)</f>
        <v>0</v>
      </c>
      <c r="X204" s="17">
        <f>SUM(X198:X203)</f>
        <v>0</v>
      </c>
      <c r="Y204" s="17">
        <f>W204-X204</f>
        <v>0</v>
      </c>
      <c r="Z204" s="18" t="e">
        <f t="shared" si="106"/>
        <v>#DIV/0!</v>
      </c>
      <c r="AA204" s="19">
        <f>SUM(AA198:AA203)</f>
        <v>0</v>
      </c>
      <c r="AB204" s="17">
        <f>SUM(AB198:AB203)</f>
        <v>0</v>
      </c>
      <c r="AC204" s="17">
        <f>SUM(AC198:AC203)</f>
        <v>0</v>
      </c>
      <c r="AD204" s="17">
        <f>+AB204-AC204</f>
        <v>0</v>
      </c>
      <c r="AE204" s="18" t="e">
        <f t="shared" si="108"/>
        <v>#DIV/0!</v>
      </c>
    </row>
    <row r="205" spans="1:31" ht="30" customHeight="1" x14ac:dyDescent="0.25">
      <c r="A205" s="20" t="s">
        <v>48</v>
      </c>
      <c r="B205" s="20"/>
      <c r="C205" s="19">
        <f>SUM(C197,C204)</f>
        <v>0</v>
      </c>
      <c r="D205" s="19">
        <f>SUM(D197,D204)</f>
        <v>0</v>
      </c>
      <c r="E205" s="19">
        <f>C205-D205</f>
        <v>0</v>
      </c>
      <c r="F205" s="21" t="e">
        <f t="shared" si="97"/>
        <v>#DIV/0!</v>
      </c>
      <c r="G205" s="19">
        <f>SUM(G197,G204)</f>
        <v>0</v>
      </c>
      <c r="H205" s="19">
        <f>SUM(H197,H204)</f>
        <v>0</v>
      </c>
      <c r="I205" s="19">
        <f>G205-H205</f>
        <v>0</v>
      </c>
      <c r="J205" s="21" t="e">
        <f t="shared" si="99"/>
        <v>#DIV/0!</v>
      </c>
      <c r="K205" s="19">
        <f>SUM(K197,K204)</f>
        <v>0</v>
      </c>
      <c r="L205" s="19">
        <f>SUM(L197,L204)</f>
        <v>0</v>
      </c>
      <c r="M205" s="19">
        <f>K205-L205</f>
        <v>0</v>
      </c>
      <c r="N205" s="21" t="e">
        <f t="shared" si="101"/>
        <v>#DIV/0!</v>
      </c>
      <c r="O205" s="19">
        <f>SUM(O197,O204)</f>
        <v>0</v>
      </c>
      <c r="P205" s="19">
        <f>SUM(P197,P204)</f>
        <v>0</v>
      </c>
      <c r="Q205" s="19">
        <f>O205-P205</f>
        <v>0</v>
      </c>
      <c r="R205" s="21" t="e">
        <f t="shared" si="103"/>
        <v>#DIV/0!</v>
      </c>
      <c r="S205" s="19">
        <f>SUM(S197,S204)</f>
        <v>0</v>
      </c>
      <c r="T205" s="19">
        <f>SUM(T197,T204)</f>
        <v>0</v>
      </c>
      <c r="U205" s="19">
        <f>S205-T205</f>
        <v>0</v>
      </c>
      <c r="V205" s="21" t="e">
        <f t="shared" si="110"/>
        <v>#DIV/0!</v>
      </c>
      <c r="W205" s="19">
        <f>SUM(W197,W204)</f>
        <v>0</v>
      </c>
      <c r="X205" s="19">
        <f>SUM(X197,X204)</f>
        <v>0</v>
      </c>
      <c r="Y205" s="19">
        <f>W205-X205</f>
        <v>0</v>
      </c>
      <c r="Z205" s="21" t="e">
        <f t="shared" si="106"/>
        <v>#DIV/0!</v>
      </c>
      <c r="AA205" s="19">
        <f>SUM(AA197,AA204)</f>
        <v>0</v>
      </c>
      <c r="AB205" s="19">
        <f>SUM(AB197,AB204)</f>
        <v>0</v>
      </c>
      <c r="AC205" s="19">
        <f>SUM(AC197,AC204)</f>
        <v>0</v>
      </c>
      <c r="AD205" s="19">
        <f>AB205-AC205</f>
        <v>0</v>
      </c>
      <c r="AE205" s="21" t="e">
        <f t="shared" si="108"/>
        <v>#DIV/0!</v>
      </c>
    </row>
    <row r="206" spans="1:31" ht="30" customHeight="1" x14ac:dyDescent="0.25">
      <c r="A206" s="22" t="s">
        <v>49</v>
      </c>
      <c r="B206" s="22"/>
      <c r="C206" s="23">
        <f>+C186-C205</f>
        <v>0</v>
      </c>
      <c r="D206" s="23"/>
      <c r="E206" s="24"/>
      <c r="F206" s="23"/>
      <c r="G206" s="23">
        <f>+G186-G205</f>
        <v>0</v>
      </c>
      <c r="H206" s="23"/>
      <c r="I206" s="24"/>
      <c r="J206" s="23"/>
      <c r="K206" s="23">
        <f>+K186-K205</f>
        <v>0</v>
      </c>
      <c r="L206" s="23"/>
      <c r="M206" s="24"/>
      <c r="N206" s="23"/>
      <c r="O206" s="23">
        <f>+O186-O205</f>
        <v>0</v>
      </c>
      <c r="P206" s="23"/>
      <c r="Q206" s="24"/>
      <c r="R206" s="23"/>
      <c r="S206" s="23">
        <f>+S186-S205</f>
        <v>0</v>
      </c>
      <c r="T206" s="23"/>
      <c r="U206" s="24"/>
      <c r="V206" s="23"/>
      <c r="W206" s="23">
        <f>+W186-W205</f>
        <v>0</v>
      </c>
      <c r="X206" s="23"/>
      <c r="Y206" s="24"/>
      <c r="Z206" s="23"/>
      <c r="AA206" s="23">
        <f>+AA185-AA204</f>
        <v>0</v>
      </c>
      <c r="AB206" s="23">
        <f>+AB186-AB205</f>
        <v>0</v>
      </c>
      <c r="AC206" s="24"/>
      <c r="AD206" s="24"/>
      <c r="AE206" s="24"/>
    </row>
    <row r="207" spans="1:31" x14ac:dyDescent="0.25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</row>
    <row r="208" spans="1:31" ht="15.75" x14ac:dyDescent="0.25">
      <c r="A208" s="26" t="s">
        <v>50</v>
      </c>
      <c r="B208" s="27" t="s">
        <v>51</v>
      </c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>
        <f>SUM(C208:AA208)</f>
        <v>0</v>
      </c>
      <c r="AC208" s="27"/>
      <c r="AD208" s="27"/>
      <c r="AE208" s="27"/>
    </row>
    <row r="209" spans="1:31" ht="15.75" x14ac:dyDescent="0.25">
      <c r="A209" s="26"/>
      <c r="B209" s="27" t="s">
        <v>52</v>
      </c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>
        <f>SUM(C209:AA209)</f>
        <v>0</v>
      </c>
      <c r="AC209" s="27"/>
      <c r="AD209" s="27"/>
      <c r="AE209" s="27"/>
    </row>
    <row r="210" spans="1:31" ht="15.75" x14ac:dyDescent="0.25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</row>
    <row r="211" spans="1:31" ht="15.75" x14ac:dyDescent="0.25">
      <c r="A211" s="27"/>
      <c r="B211" s="27"/>
      <c r="C211" s="27" t="b">
        <f>C186=C208</f>
        <v>1</v>
      </c>
      <c r="D211" s="27"/>
      <c r="E211" s="27"/>
      <c r="F211" s="27"/>
      <c r="G211" s="27" t="b">
        <f>G186=G208</f>
        <v>1</v>
      </c>
      <c r="H211" s="27"/>
      <c r="I211" s="27"/>
      <c r="J211" s="27"/>
      <c r="K211" s="27" t="b">
        <f>K186=K208</f>
        <v>1</v>
      </c>
      <c r="L211" s="27"/>
      <c r="M211" s="27"/>
      <c r="N211" s="27"/>
      <c r="O211" s="27" t="b">
        <f>O186=O208</f>
        <v>1</v>
      </c>
      <c r="P211" s="27"/>
      <c r="Q211" s="27"/>
      <c r="R211" s="27"/>
      <c r="S211" s="27" t="b">
        <f>S186=S208</f>
        <v>1</v>
      </c>
      <c r="T211" s="27"/>
      <c r="U211" s="27"/>
      <c r="V211" s="27"/>
      <c r="W211" s="27" t="b">
        <f>W186=W208</f>
        <v>1</v>
      </c>
      <c r="X211" s="27"/>
      <c r="Y211" s="27"/>
      <c r="Z211" s="27"/>
      <c r="AA211" s="27"/>
      <c r="AB211" s="27" t="b">
        <f>AB208=AB186</f>
        <v>1</v>
      </c>
      <c r="AC211" s="27"/>
      <c r="AD211" s="27"/>
      <c r="AE211" s="27"/>
    </row>
    <row r="212" spans="1:31" ht="15.75" x14ac:dyDescent="0.25">
      <c r="A212" s="27"/>
      <c r="B212" s="27"/>
      <c r="C212" s="27" t="b">
        <f>C209=C205</f>
        <v>1</v>
      </c>
      <c r="D212" s="27"/>
      <c r="E212" s="27"/>
      <c r="F212" s="27"/>
      <c r="G212" s="27" t="b">
        <f>G209=G205</f>
        <v>1</v>
      </c>
      <c r="H212" s="27"/>
      <c r="I212" s="27"/>
      <c r="J212" s="27"/>
      <c r="K212" s="27" t="b">
        <f>K209=K205</f>
        <v>1</v>
      </c>
      <c r="L212" s="27"/>
      <c r="M212" s="27"/>
      <c r="N212" s="27"/>
      <c r="O212" s="27" t="b">
        <f>O209=O205</f>
        <v>1</v>
      </c>
      <c r="P212" s="27"/>
      <c r="Q212" s="27"/>
      <c r="R212" s="27"/>
      <c r="S212" s="27" t="b">
        <f>S209=S205</f>
        <v>1</v>
      </c>
      <c r="T212" s="27"/>
      <c r="U212" s="27"/>
      <c r="V212" s="27"/>
      <c r="W212" s="27" t="b">
        <f>W209=W205</f>
        <v>1</v>
      </c>
      <c r="X212" s="27"/>
      <c r="Y212" s="27"/>
      <c r="Z212" s="27"/>
      <c r="AA212" s="27"/>
      <c r="AB212" s="27" t="b">
        <f>AB209=AB205</f>
        <v>1</v>
      </c>
      <c r="AC212" s="27"/>
      <c r="AD212" s="27"/>
      <c r="AE212" s="27"/>
    </row>
  </sheetData>
  <mergeCells count="72">
    <mergeCell ref="A206:B206"/>
    <mergeCell ref="A208:A209"/>
    <mergeCell ref="AA164:AA165"/>
    <mergeCell ref="AB164:AE164"/>
    <mergeCell ref="A166:A185"/>
    <mergeCell ref="A186:B186"/>
    <mergeCell ref="A187:A204"/>
    <mergeCell ref="A205:B205"/>
    <mergeCell ref="A161:AE161"/>
    <mergeCell ref="A163:A165"/>
    <mergeCell ref="B163:B165"/>
    <mergeCell ref="C163:AE163"/>
    <mergeCell ref="C164:F164"/>
    <mergeCell ref="G164:J164"/>
    <mergeCell ref="K164:N164"/>
    <mergeCell ref="O164:R164"/>
    <mergeCell ref="S164:V164"/>
    <mergeCell ref="W164:Z164"/>
    <mergeCell ref="A113:A132"/>
    <mergeCell ref="A133:B133"/>
    <mergeCell ref="A134:A151"/>
    <mergeCell ref="A152:B152"/>
    <mergeCell ref="A153:B153"/>
    <mergeCell ref="A155:A156"/>
    <mergeCell ref="K111:N111"/>
    <mergeCell ref="O111:R111"/>
    <mergeCell ref="S111:V111"/>
    <mergeCell ref="W111:Z111"/>
    <mergeCell ref="AA111:AA112"/>
    <mergeCell ref="AB111:AE111"/>
    <mergeCell ref="A81:A98"/>
    <mergeCell ref="A99:B99"/>
    <mergeCell ref="A100:B100"/>
    <mergeCell ref="A102:A103"/>
    <mergeCell ref="A108:AE108"/>
    <mergeCell ref="A110:A112"/>
    <mergeCell ref="B110:B112"/>
    <mergeCell ref="C110:AE110"/>
    <mergeCell ref="C111:F111"/>
    <mergeCell ref="G111:J111"/>
    <mergeCell ref="S58:V58"/>
    <mergeCell ref="W58:Z58"/>
    <mergeCell ref="AA58:AA59"/>
    <mergeCell ref="AB58:AE58"/>
    <mergeCell ref="A60:A79"/>
    <mergeCell ref="A80:B80"/>
    <mergeCell ref="A47:B47"/>
    <mergeCell ref="A49:A50"/>
    <mergeCell ref="A55:AE55"/>
    <mergeCell ref="A57:A59"/>
    <mergeCell ref="B57:B59"/>
    <mergeCell ref="C57:AE57"/>
    <mergeCell ref="C58:F58"/>
    <mergeCell ref="G58:J58"/>
    <mergeCell ref="K58:N58"/>
    <mergeCell ref="O58:R58"/>
    <mergeCell ref="AA5:AA6"/>
    <mergeCell ref="AB5:AE5"/>
    <mergeCell ref="A7:A26"/>
    <mergeCell ref="A27:B27"/>
    <mergeCell ref="A28:A45"/>
    <mergeCell ref="A46:B46"/>
    <mergeCell ref="A2:AE2"/>
    <mergeCell ref="A4:A6"/>
    <mergeCell ref="B4:B6"/>
    <mergeCell ref="C4:AE4"/>
    <mergeCell ref="C5:F5"/>
    <mergeCell ref="G5:J5"/>
    <mergeCell ref="K5:N5"/>
    <mergeCell ref="O5:R5"/>
    <mergeCell ref="S5:V5"/>
    <mergeCell ref="W5:Z5"/>
  </mergeCells>
  <conditionalFormatting sqref="E19:E25 I19:I25 Q19:Q25 AD6:AD26 M6:M26 U6:U26 Y6:Y26">
    <cfRule type="cellIs" dxfId="35" priority="36" stopIfTrue="1" operator="lessThan">
      <formula>0</formula>
    </cfRule>
  </conditionalFormatting>
  <conditionalFormatting sqref="E2:E4 U28:U37 Y28:Y37 M47 I2:I4 Q2:Q4 Q6:Q17 I6:I17 E6:E17 Y39:Y44 U39:U44 I39:I44 Q39:Q44 E39:E44 M28:M45 AD28:AD45">
    <cfRule type="cellIs" dxfId="34" priority="35" stopIfTrue="1" operator="lessThan">
      <formula>0</formula>
    </cfRule>
  </conditionalFormatting>
  <conditionalFormatting sqref="AD2:AD4 M2:M4 U2:U4 Y2:Y4">
    <cfRule type="cellIs" dxfId="33" priority="34" stopIfTrue="1" operator="lessThan">
      <formula>0</formula>
    </cfRule>
  </conditionalFormatting>
  <conditionalFormatting sqref="A47:AE47">
    <cfRule type="cellIs" dxfId="32" priority="33" stopIfTrue="1" operator="lessThan">
      <formula>0</formula>
    </cfRule>
  </conditionalFormatting>
  <conditionalFormatting sqref="Q47 Y47 E47 I47 U47 E28:E37 Q28:Q37 I28:I37">
    <cfRule type="cellIs" dxfId="31" priority="32" stopIfTrue="1" operator="lessThan">
      <formula>0</formula>
    </cfRule>
  </conditionalFormatting>
  <conditionalFormatting sqref="E39:E44 Q39:Q44 I39:I44">
    <cfRule type="cellIs" dxfId="30" priority="31" stopIfTrue="1" operator="lessThan">
      <formula>0</formula>
    </cfRule>
  </conditionalFormatting>
  <conditionalFormatting sqref="AD5">
    <cfRule type="cellIs" dxfId="29" priority="30" stopIfTrue="1" operator="lessThan">
      <formula>0</formula>
    </cfRule>
  </conditionalFormatting>
  <conditionalFormatting sqref="AC47:AE47">
    <cfRule type="cellIs" dxfId="28" priority="29" stopIfTrue="1" operator="lessThan">
      <formula>0</formula>
    </cfRule>
  </conditionalFormatting>
  <conditionalFormatting sqref="E5 I5 M5 Q5 U5 Y5">
    <cfRule type="cellIs" dxfId="27" priority="28" stopIfTrue="1" operator="lessThan">
      <formula>0</formula>
    </cfRule>
  </conditionalFormatting>
  <conditionalFormatting sqref="E72:E78 I72:I78 Q72:Q78 AD59:AD79 M59:M79 U59:U79 Y59:Y79">
    <cfRule type="cellIs" dxfId="26" priority="27" stopIfTrue="1" operator="lessThan">
      <formula>0</formula>
    </cfRule>
  </conditionalFormatting>
  <conditionalFormatting sqref="E55:E57 U81:U90 Y81:Y90 M100 I55:I57 Q55:Q57 Q59:Q70 I59:I70 E59:E70 Y92:Y97 U92:U97 I92:I97 Q92:Q97 E92:E97 M81:M98 AD81:AD98">
    <cfRule type="cellIs" dxfId="25" priority="26" stopIfTrue="1" operator="lessThan">
      <formula>0</formula>
    </cfRule>
  </conditionalFormatting>
  <conditionalFormatting sqref="AD55:AD57 M55:M57 U55:U57 Y55:Y57">
    <cfRule type="cellIs" dxfId="24" priority="25" stopIfTrue="1" operator="lessThan">
      <formula>0</formula>
    </cfRule>
  </conditionalFormatting>
  <conditionalFormatting sqref="A100:AE100">
    <cfRule type="cellIs" dxfId="23" priority="24" stopIfTrue="1" operator="lessThan">
      <formula>0</formula>
    </cfRule>
  </conditionalFormatting>
  <conditionalFormatting sqref="Q100 Y100 E100 I100 U100 E81:E90 Q81:Q90 I81:I90">
    <cfRule type="cellIs" dxfId="22" priority="23" stopIfTrue="1" operator="lessThan">
      <formula>0</formula>
    </cfRule>
  </conditionalFormatting>
  <conditionalFormatting sqref="E92:E97 Q92:Q97 I92:I97">
    <cfRule type="cellIs" dxfId="21" priority="22" stopIfTrue="1" operator="lessThan">
      <formula>0</formula>
    </cfRule>
  </conditionalFormatting>
  <conditionalFormatting sqref="AD58">
    <cfRule type="cellIs" dxfId="20" priority="21" stopIfTrue="1" operator="lessThan">
      <formula>0</formula>
    </cfRule>
  </conditionalFormatting>
  <conditionalFormatting sqref="AC100:AE100">
    <cfRule type="cellIs" dxfId="19" priority="20" stopIfTrue="1" operator="lessThan">
      <formula>0</formula>
    </cfRule>
  </conditionalFormatting>
  <conditionalFormatting sqref="E58 I58 M58 Q58 U58 Y58">
    <cfRule type="cellIs" dxfId="18" priority="19" stopIfTrue="1" operator="lessThan">
      <formula>0</formula>
    </cfRule>
  </conditionalFormatting>
  <conditionalFormatting sqref="E125:E131 I125:I131 Q125:Q131 AD112:AD132 M112:M132 U112:U132 Y112:Y132">
    <cfRule type="cellIs" dxfId="17" priority="18" stopIfTrue="1" operator="lessThan">
      <formula>0</formula>
    </cfRule>
  </conditionalFormatting>
  <conditionalFormatting sqref="E108:E110 U134:U143 Y134:Y143 M153 I108:I110 Q108:Q110 Q112:Q123 I112:I123 E112:E123 Y145:Y150 U145:U150 I145:I150 Q145:Q150 E145:E150 M134:M151 AD134:AD151">
    <cfRule type="cellIs" dxfId="16" priority="17" stopIfTrue="1" operator="lessThan">
      <formula>0</formula>
    </cfRule>
  </conditionalFormatting>
  <conditionalFormatting sqref="AD108:AD110 M108:M110 U108:U110 Y108:Y110">
    <cfRule type="cellIs" dxfId="15" priority="16" stopIfTrue="1" operator="lessThan">
      <formula>0</formula>
    </cfRule>
  </conditionalFormatting>
  <conditionalFormatting sqref="A153:AE153">
    <cfRule type="cellIs" dxfId="14" priority="15" stopIfTrue="1" operator="lessThan">
      <formula>0</formula>
    </cfRule>
  </conditionalFormatting>
  <conditionalFormatting sqref="Q153 Y153 E153 I153 U153 E134:E143 Q134:Q143 I134:I143">
    <cfRule type="cellIs" dxfId="13" priority="14" stopIfTrue="1" operator="lessThan">
      <formula>0</formula>
    </cfRule>
  </conditionalFormatting>
  <conditionalFormatting sqref="E145:E150 Q145:Q150 I145:I150">
    <cfRule type="cellIs" dxfId="12" priority="13" stopIfTrue="1" operator="lessThan">
      <formula>0</formula>
    </cfRule>
  </conditionalFormatting>
  <conditionalFormatting sqref="AD111">
    <cfRule type="cellIs" dxfId="11" priority="12" stopIfTrue="1" operator="lessThan">
      <formula>0</formula>
    </cfRule>
  </conditionalFormatting>
  <conditionalFormatting sqref="AC153:AE153">
    <cfRule type="cellIs" dxfId="10" priority="11" stopIfTrue="1" operator="lessThan">
      <formula>0</formula>
    </cfRule>
  </conditionalFormatting>
  <conditionalFormatting sqref="E111 I111 M111 Q111 U111 Y111">
    <cfRule type="cellIs" dxfId="9" priority="10" stopIfTrue="1" operator="lessThan">
      <formula>0</formula>
    </cfRule>
  </conditionalFormatting>
  <conditionalFormatting sqref="E178:E184 I178:I184 Q178:Q184 AD165:AD185 M165:M185 U165:U185 Y165:Y185">
    <cfRule type="cellIs" dxfId="8" priority="9" stopIfTrue="1" operator="lessThan">
      <formula>0</formula>
    </cfRule>
  </conditionalFormatting>
  <conditionalFormatting sqref="E161:E163 U187:U196 Y187:Y196 M206 I161:I163 Q161:Q163 Q165:Q176 I165:I176 E165:E176 Y198:Y203 U198:U203 I198:I203 Q198:Q203 E198:E203 M187:M204 AD187:AD204">
    <cfRule type="cellIs" dxfId="7" priority="8" stopIfTrue="1" operator="lessThan">
      <formula>0</formula>
    </cfRule>
  </conditionalFormatting>
  <conditionalFormatting sqref="AD161:AD163 M161:M163 U161:U163 Y161:Y163">
    <cfRule type="cellIs" dxfId="6" priority="7" stopIfTrue="1" operator="lessThan">
      <formula>0</formula>
    </cfRule>
  </conditionalFormatting>
  <conditionalFormatting sqref="A206:AE206">
    <cfRule type="cellIs" dxfId="5" priority="6" stopIfTrue="1" operator="lessThan">
      <formula>0</formula>
    </cfRule>
  </conditionalFormatting>
  <conditionalFormatting sqref="Q206 Y206 E206 I206 U206 E187:E196 Q187:Q196 I187:I196">
    <cfRule type="cellIs" dxfId="4" priority="5" stopIfTrue="1" operator="lessThan">
      <formula>0</formula>
    </cfRule>
  </conditionalFormatting>
  <conditionalFormatting sqref="E198:E203 Q198:Q203 I198:I203">
    <cfRule type="cellIs" dxfId="3" priority="4" stopIfTrue="1" operator="lessThan">
      <formula>0</formula>
    </cfRule>
  </conditionalFormatting>
  <conditionalFormatting sqref="AD164">
    <cfRule type="cellIs" dxfId="2" priority="3" stopIfTrue="1" operator="lessThan">
      <formula>0</formula>
    </cfRule>
  </conditionalFormatting>
  <conditionalFormatting sqref="AC206:AE206">
    <cfRule type="cellIs" dxfId="1" priority="2" stopIfTrue="1" operator="lessThan">
      <formula>0</formula>
    </cfRule>
  </conditionalFormatting>
  <conditionalFormatting sqref="E164 I164 M164 Q164 U164 Y164">
    <cfRule type="cellIs" dxfId="0" priority="1" stopIfTrue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PPIC</dc:creator>
  <cp:lastModifiedBy>PPIC</cp:lastModifiedBy>
  <dcterms:created xsi:type="dcterms:W3CDTF">2026-08-24T10:04:20Z</dcterms:created>
  <dcterms:modified xsi:type="dcterms:W3CDTF">2026-08-24T10:04:48Z</dcterms:modified>
</cp:coreProperties>
</file>